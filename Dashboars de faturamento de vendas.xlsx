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Iago\Downloads\"/>
    </mc:Choice>
  </mc:AlternateContent>
  <xr:revisionPtr revIDLastSave="0" documentId="13_ncr:1_{BF99367C-0CE4-40F2-89A7-2036D136AC28}" xr6:coauthVersionLast="47" xr6:coauthVersionMax="47" xr10:uidLastSave="{00000000-0000-0000-0000-000000000000}"/>
  <bookViews>
    <workbookView xWindow="-120" yWindow="-120" windowWidth="24240" windowHeight="131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3" l="1"/>
  <c r="E25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<sst xmlns="http://schemas.openxmlformats.org/spreadsheetml/2006/main" count="2021" uniqueCount="323">
  <si>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</si>
  <si>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</si>
  <si>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</si>
  <si>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</si>
  <si>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</si>
  <si>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</si>
  <si>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</si>
  <si>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</si>
  <si>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</si>
  <si>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</si>
  <si>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</si>
  <si>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</si>
  <si>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</si>
  <si>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</si>
  <si>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</si>
  <si>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</si>
  <si>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</si>
  <si>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</si>
  <si>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</si>
  <si>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</si>
  <si>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</si>
  <si>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</si>
  <si>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</si>
  <si>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</si>
  <si>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</si>
  <si>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</si>
  <si>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</si>
  <si>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</si>
  <si>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</si>
  <si>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</si>
  <si>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</si>
  <si>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</si>
  <si>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</si>
  <si>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</si>
  <si>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</si>
  <si>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</si>
  <si>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</si>
  <si>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</si>
  <si>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</si>
  <si>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</si>
  <si>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</si>
  <si>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</si>
  <si>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</si>
  <si>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</si>
  <si>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</si>
  <si>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</si>
  <si>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</si>
  <si>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</si>
  <si>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</si>
  <si>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</si>
  <si>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</si>
  <si>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</si>
  <si>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</si>
  <si>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</si>
  <si>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</si>
  <si>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</si>
  <si>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</si>
  <si>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</si>
  <si>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</si>
  <si>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</si>
  <si>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</si>
  <si>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</si>
  <si>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</si>
  <si>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</si>
  <si>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</si>
  <si>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</si>
  <si>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</si>
  <si>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</si>
  <si>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</si>
  <si>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</si>
  <si>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</si>
  <si>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</si>
  <si>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</si>
  <si>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</si>
  <si>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</si>
  <si>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</si>
  <si>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</si>
  <si>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</si>
  <si>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</si>
  <si>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</si>
  <si>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</si>
  <si>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</si>
  <si>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</si>
  <si>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</si>
  <si>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</si>
  <si>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</si>
  <si>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</si>
  <si>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</si>
  <si>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</si>
  <si>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</si>
  <si>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</si>
  <si>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</si>
  <si>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</si>
  <si>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</si>
  <si>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</si>
  <si>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</si>
  <si>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</si>
  <si>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</si>
  <si>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</si>
  <si>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</si>
  <si>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</si>
  <si>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</si>
  <si>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</si>
  <si>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</si>
  <si>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</si>
  <si>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</si>
  <si>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</si>
  <si>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</si>
  <si>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</si>
  <si>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</si>
  <si>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</si>
  <si>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</si>
  <si>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</si>
  <si>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</si>
  <si>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</si>
  <si>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</si>
  <si>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</si>
  <si>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</si>
  <si>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</si>
  <si>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</si>
  <si>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</si>
  <si>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</si>
  <si>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</si>
  <si>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</si>
  <si>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</si>
  <si>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</si>
  <si>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</si>
  <si>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</si>
  <si>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</si>
  <si>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</si>
  <si>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</si>
  <si>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</si>
  <si>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</si>
  <si>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</si>
  <si>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</si>
  <si>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</si>
  <si>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</si>
  <si>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</si>
  <si>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</si>
  <si>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</si>
  <si>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</si>
  <si>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</si>
  <si>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</si>
  <si>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</si>
  <si>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</si>
  <si>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</si>
  <si>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</si>
  <si>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</si>
  <si>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</si>
  <si>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</si>
  <si>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</si>
  <si>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</si>
  <si>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</si>
  <si>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</si>
  <si>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</si>
  <si>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</si>
  <si>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</si>
  <si>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</si>
  <si>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</si>
  <si>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</si>
  <si>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</si>
  <si>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</si>
  <si>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</si>
  <si>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</si>
  <si>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</si>
  <si>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</si>
  <si>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</si>
  <si>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</si>
  <si>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</si>
  <si>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</si>
  <si>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</si>
  <si>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</si>
  <si>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</si>
  <si>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</si>
  <si>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</si>
  <si>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</si>
  <si>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</si>
  <si>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</si>
  <si>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</si>
  <si>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</si>
  <si>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</si>
  <si>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</si>
  <si>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</si>
  <si>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</si>
  <si>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</si>
  <si>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</si>
  <si>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</si>
  <si>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</si>
  <si>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</si>
  <si>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</si>
  <si>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</si>
  <si>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</si>
  <si>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</si>
  <si>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</si>
  <si>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</si>
  <si>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</si>
  <si>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</si>
  <si>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</si>
  <si>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</si>
  <si>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</si>
  <si>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</si>
  <si>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</si>
  <si>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</si>
  <si>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</si>
  <si>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</si>
  <si>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</si>
  <si>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</si>
  <si>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</si>
  <si>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</si>
  <si>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</si>
  <si>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</si>
  <si>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</si>
  <si>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</si>
  <si>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</si>
  <si>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</si>
  <si>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</si>
  <si>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</si>
  <si>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</si>
  <si>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</si>
  <si>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</si>
  <si>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</si>
  <si>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</si>
  <si>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</si>
  <si>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</si>
  <si>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</si>
  <si>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</si>
  <si>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</si>
  <si>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</si>
  <si>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</si>
  <si>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</si>
  <si>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</si>
  <si>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</si>
  <si>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</si>
  <si>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</si>
  <si>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</si>
  <si>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</si>
  <si>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</si>
  <si>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</si>
  <si>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</si>
  <si>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</si>
  <si>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</si>
  <si>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</si>
  <si>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</si>
  <si>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</si>
  <si>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</si>
  <si>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</si>
  <si>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</si>
  <si>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</si>
  <si>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</si>
  <si>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</si>
  <si>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</si>
  <si>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</si>
  <si>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</si>
  <si>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</si>
  <si>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</si>
  <si>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</si>
  <si>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</si>
  <si>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</si>
  <si>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</si>
  <si>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</si>
  <si>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</si>
  <si>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</si>
  <si>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</si>
  <si>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</si>
  <si>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</si>
  <si>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</si>
  <si>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</si>
  <si>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</si>
  <si>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</si>
  <si>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</si>
  <si>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</si>
  <si>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</si>
  <si>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</si>
  <si>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</si>
  <si>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</si>
  <si>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</si>
  <si>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</si>
  <si>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</si>
  <si>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</si>
  <si>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</si>
  <si>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</si>
  <si>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</si>
  <si>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</si>
  <si>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</si>
  <si>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</si>
  <si>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</si>
  <si>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</si>
  <si>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</si>
  <si>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</si>
  <si>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</si>
  <si>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</si>
  <si>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</si>
  <si>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</si>
  <si>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</si>
  <si>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</si>
  <si>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</si>
  <si>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</si>
  <si>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</si>
  <si>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</si>
  <si>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</si>
  <si>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</si>
  <si>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</si>
  <si>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</si>
  <si>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</si>
  <si>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</si>
  <si>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</si>
  <si>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</si>
  <si>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</si>
  <si>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</si>
  <si>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</si>
  <si>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</si>
  <si>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</si>
  <si>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</si>
  <si>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</si>
  <si>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</si>
  <si>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</si>
  <si>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Pergunta de Negócio 1 - Qual faturamento Total de vendas de planos anuais (contendo todas as assinaturas agregadas)</t>
  </si>
  <si>
    <t>Pergunta de Negócio 2 - Qual Faturamento Total de vendas de planos anuais , separado por auto renovação não é por auto renovação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</si>
  <si>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</si>
  <si>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</si>
  <si>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</si>
  <si>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</si>
  <si>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FATURAMENTO DO XBOX GAME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</si>
</sst>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-&quot;R$&quot;\ * #,##0.00_-;\-&quot;R$&quot;\ * #,##0.00_-;_-&quot;R$&quot;\ * &quot;-&quot;??_-;_-@_-"/>
    <numFmt numFmtId="165" formatCode="&quot;R$&quot;#,##0.00"/>
    <numFmt numFmtId="166" formatCode="_-[$R$-416]\ * #,##0.00_-;\-[$R$-416]\ * #,##0.00_-;_-[$R$-416]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26"/>
      <color theme="1"/>
      <name val="Aptos"/>
      <family val="2"/>
    </font>
    <font>
      <b/>
      <sz val="20"/>
      <color rgb="FF00B050"/>
      <name val="Segoe UI"/>
      <family val="2"/>
    </font>
    <font>
      <sz val="20"/>
      <color rgb="FF00B05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4" fillId="4" borderId="0" xfId="0" applyFont="1" applyFill="1"/>
    <xf numFmtId="165" fontId="0" fillId="0" borderId="0" xfId="0" applyNumberFormat="1"/>
    <xf numFmtId="164" fontId="0" fillId="0" borderId="0" xfId="2" applyFont="1"/>
    <xf numFmtId="166" fontId="5" fillId="0" borderId="0" xfId="2" applyNumberFormat="1" applyFont="1"/>
    <xf numFmtId="164" fontId="0" fillId="0" borderId="0" xfId="0" applyNumberFormat="1"/>
    <xf numFmtId="0" fontId="6" fillId="0" borderId="2" xfId="0" applyFont="1" applyBorder="1" applyAlignment="1">
      <alignment horizontal="left" indent="6"/>
    </xf>
    <xf numFmtId="0" fontId="7" fillId="0" borderId="2" xfId="0" applyFont="1" applyBorder="1" applyAlignment="1">
      <alignment horizontal="left" indent="6"/>
    </xf>
  </cellXfs>
  <cellStyles count="3">
    <cellStyle name="Moeda" xfId="2" builtinId="4"/>
    <cellStyle name="Normal" xfId="0" builtinId="0"/>
    <cellStyle name="Título 1" xfId="1" builtinId="16"/>
  </cellStyles>
  <dxfs count="36">
    <dxf>
      <numFmt numFmtId="165" formatCode="&quot;R$&quot;#,##0.00"/>
    </dxf>
    <dxf>
      <numFmt numFmtId="165" formatCode="&quot;R$&quot;#,##0.00"/>
    </dxf>
    <dxf>
      <numFmt numFmtId="164" formatCode="_-&quot;R$&quot;\ * #,##0.00_-;\-&quot;R$&quot;\ * #,##0.00_-;_-&quot;R$&quot;\ * &quot;-&quot;??_-;_-@_-"/>
    </dxf>
    <dxf>
      <numFmt numFmtId="165" formatCode="&quot;R$&quot;#,##0.00"/>
    </dxf>
    <dxf>
      <numFmt numFmtId="165" formatCode="&quot;R$&quot;#,##0.00"/>
    </dxf>
    <dxf>
      <numFmt numFmtId="164" formatCode="_-&quot;R$&quot;\ * #,##0.00_-;\-&quot;R$&quot;\ * #,##0.00_-;_-&quot;R$&quot;\ * &quot;-&quot;??_-;_-@_-"/>
    </dxf>
    <dxf>
      <numFmt numFmtId="165" formatCode="&quot;R$&quot;#,##0.00"/>
    </dxf>
    <dxf>
      <numFmt numFmtId="165" formatCode="&quot;R$&quot;#,##0.00"/>
    </dxf>
    <dxf>
      <numFmt numFmtId="164" formatCode="_-&quot;R$&quot;\ * #,##0.00_-;\-&quot;R$&quot;\ * #,##0.00_-;_-&quot;R$&quot;\ * &quot;-&quot;??_-;_-@_-"/>
    </dxf>
    <dxf>
      <numFmt numFmtId="165" formatCode="&quot;R$&quot;#,##0.00"/>
    </dxf>
    <dxf>
      <numFmt numFmtId="165" formatCode="&quot;R$&quot;#,##0.00"/>
    </dxf>
    <dxf>
      <numFmt numFmtId="164" formatCode="_-&quot;R$&quot;\ * #,##0.00_-;\-&quot;R$&quot;\ * #,##0.00_-;_-&quot;R$&quot;\ * &quot;-&quot;??_-;_-@_-"/>
    </dxf>
    <dxf>
      <numFmt numFmtId="165" formatCode="&quot;R$&quot;#,##0.00"/>
    </dxf>
    <dxf>
      <numFmt numFmtId="165" formatCode="&quot;R$&quot;#,##0.00"/>
    </dxf>
    <dxf>
      <numFmt numFmtId="164" formatCode="_-&quot;R$&quot;\ * #,##0.00_-;\-&quot;R$&quot;\ * #,##0.00_-;_-&quot;R$&quot;\ * &quot;-&quot;??_-;_-@_-"/>
    </dxf>
    <dxf>
      <numFmt numFmtId="165" formatCode="&quot;R$&quot;#,##0.00"/>
    </dxf>
    <dxf>
      <numFmt numFmtId="165" formatCode="&quot;R$&quot;#,##0.00"/>
    </dxf>
    <dxf>
      <numFmt numFmtId="16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color rgb="FFF7F8FC"/>
        <name val="Segoe UI Black"/>
        <family val="2"/>
        <scheme val="none"/>
      </font>
    </dxf>
    <dxf>
      <fill>
        <patternFill>
          <bgColor rgb="FF00B050"/>
        </patternFill>
      </fill>
    </dxf>
  </dxfs>
  <tableStyles count="2" defaultTableStyle="TableStyleMedium2" defaultPivotStyle="PivotStyleLight16">
    <tableStyle name="Estilo de Segmentação de Dados 2" pivot="0" table="0" count="10" xr9:uid="{42388E1A-B717-47DF-949B-245957F19FA4}">
      <tableStyleElement type="wholeTable" dxfId="35"/>
      <tableStyleElement type="headerRow" dxfId="34"/>
    </tableStyle>
    <tableStyle name="SlicerStyleLight6 2" pivot="0" table="0" count="10" xr9:uid="{4CC6AE7A-121F-44AF-9DBB-64AE97E442F1}">
      <tableStyleElement type="wholeTable" dxfId="33"/>
      <tableStyleElement type="headerRow" dxfId="32"/>
    </tableStyle>
  </tableStyles>
  <colors>
    <mruColors>
      <color rgb="FF22C55E"/>
      <color rgb="FFF7F8FC"/>
      <color rgb="FF5BF6A8"/>
      <color rgb="FFE8E6E9"/>
      <color rgb="FF2AE6B1"/>
      <color rgb="FF000000"/>
      <color rgb="FFE0E0E0"/>
      <color rgb="FFEDEDED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fgColor theme="0"/>
            </patternFill>
          </fill>
        </dxf>
        <dxf>
          <fill>
            <patternFill>
              <fgColor theme="0"/>
            </patternFill>
          </fill>
        </dxf>
        <dxf>
          <fill>
            <patternFill>
              <fgColor theme="0"/>
            </patternFill>
          </fill>
        </dxf>
        <dxf>
          <fill>
            <patternFill>
              <fgColor theme="0"/>
            </patternFill>
          </fill>
        </dxf>
        <dxf>
          <fill>
            <patternFill>
              <fgColor theme="0"/>
              <bgColor theme="0"/>
            </patternFill>
          </fill>
        </dxf>
        <dxf>
          <fill>
            <patternFill>
              <bgColor theme="9" tint="0.39994506668294322"/>
            </patternFill>
          </fill>
        </dxf>
        <dxf>
          <fill>
            <patternFill>
              <fgColor theme="0"/>
            </patternFill>
          </fill>
        </dxf>
        <dxf>
          <fill>
            <patternFill>
              <fgColor theme="0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ção de Dados 2">
        <x14:slicerStyle name="Estilo de Segmentação de Dados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[Dashboars de valores de vendas.xlsx]C̳álculos!tbl_anual_total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8576229712098365E-2"/>
          <c:y val="2.4802698274236138E-3"/>
          <c:w val="0.93890735824714611"/>
          <c:h val="0.9494248818897638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_-"R$"\ * #,##0.00_-;\-"R$"\ * #,##0.00_-;_-"R$"\ * "-"??_-;_-@_-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8C-48AF-A4B0-2FF925995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40"/>
        <c:axId val="1161453007"/>
        <c:axId val="1161454927"/>
      </c:barChart>
      <c:catAx>
        <c:axId val="116145300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61454927"/>
        <c:crosses val="autoZero"/>
        <c:auto val="1"/>
        <c:lblAlgn val="ctr"/>
        <c:lblOffset val="100"/>
        <c:noMultiLvlLbl val="0"/>
      </c:catAx>
      <c:valAx>
        <c:axId val="1161454927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1161453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107155</xdr:colOff>
      <xdr:row>0</xdr:row>
      <xdr:rowOff>142875</xdr:rowOff>
    </xdr:from>
    <xdr:to>
      <xdr:col>2</xdr:col>
      <xdr:colOff>544185</xdr:colOff>
      <xdr:row>3</xdr:row>
      <xdr:rowOff>55719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A99BD42-8116-4C45-B907-9BB081921D0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2512218" y="142875"/>
          <a:ext cx="675155" cy="793907"/>
        </a:xfrm>
        <a:prstGeom prst="rect">
          <a:avLst/>
        </a:prstGeom>
      </xdr:spPr>
    </xdr:pic>
    <xdr:clientData/>
  </xdr:twoCellAnchor>
  <xdr:twoCellAnchor>
    <xdr:from>
      <xdr:col>2</xdr:col>
      <xdr:colOff>50006</xdr:colOff>
      <xdr:row>13</xdr:row>
      <xdr:rowOff>185738</xdr:rowOff>
    </xdr:from>
    <xdr:to>
      <xdr:col>17</xdr:col>
      <xdr:colOff>1</xdr:colOff>
      <xdr:row>29</xdr:row>
      <xdr:rowOff>85725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8B947248-4219-B0B6-31F1-5F40D163EC6B}"/>
            </a:ext>
          </a:extLst>
        </xdr:cNvPr>
        <xdr:cNvSpPr/>
      </xdr:nvSpPr>
      <xdr:spPr>
        <a:xfrm>
          <a:off x="2697956" y="3348038"/>
          <a:ext cx="10132220" cy="2947987"/>
        </a:xfrm>
        <a:prstGeom prst="roundRect">
          <a:avLst>
            <a:gd name="adj" fmla="val 4928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0</xdr:col>
      <xdr:colOff>11908</xdr:colOff>
      <xdr:row>5</xdr:row>
      <xdr:rowOff>16668</xdr:rowOff>
    </xdr:from>
    <xdr:to>
      <xdr:col>0</xdr:col>
      <xdr:colOff>2309814</xdr:colOff>
      <xdr:row>11</xdr:row>
      <xdr:rowOff>47625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 1">
              <a:extLst>
                <a:ext uri="{FF2B5EF4-FFF2-40B4-BE49-F238E27FC236}">
                  <a16:creationId xmlns:a16="http://schemas.microsoft.com/office/drawing/2014/main" id="{33D44C97-864F-4354-9B77-7634859103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08" y="1493043"/>
              <a:ext cx="2297906" cy="13358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57150</xdr:colOff>
      <xdr:row>4</xdr:row>
      <xdr:rowOff>133350</xdr:rowOff>
    </xdr:from>
    <xdr:to>
      <xdr:col>7</xdr:col>
      <xdr:colOff>538163</xdr:colOff>
      <xdr:row>11</xdr:row>
      <xdr:rowOff>95250</xdr:rowOff>
    </xdr:to>
    <xdr:grpSp>
      <xdr:nvGrpSpPr>
        <xdr:cNvPr id="26" name="Agrupar 25">
          <a:extLst>
            <a:ext uri="{FF2B5EF4-FFF2-40B4-BE49-F238E27FC236}">
              <a16:creationId xmlns:a16="http://schemas.microsoft.com/office/drawing/2014/main" id="{0D21D741-7D8D-671A-A362-183E9973A2AA}"/>
            </a:ext>
          </a:extLst>
        </xdr:cNvPr>
        <xdr:cNvGrpSpPr/>
      </xdr:nvGrpSpPr>
      <xdr:grpSpPr>
        <a:xfrm>
          <a:off x="2705100" y="1257300"/>
          <a:ext cx="4672013" cy="1619250"/>
          <a:chOff x="2667000" y="1304925"/>
          <a:chExt cx="4672013" cy="1654969"/>
        </a:xfrm>
      </xdr:grpSpPr>
      <xdr:sp macro="" textlink="">
        <xdr:nvSpPr>
          <xdr:cNvPr id="20" name="Retângulo: Cantos Arredondados 19">
            <a:extLst>
              <a:ext uri="{FF2B5EF4-FFF2-40B4-BE49-F238E27FC236}">
                <a16:creationId xmlns:a16="http://schemas.microsoft.com/office/drawing/2014/main" id="{053FEF93-1551-78F0-81BE-CCE3E42A7834}"/>
              </a:ext>
            </a:extLst>
          </xdr:cNvPr>
          <xdr:cNvSpPr/>
        </xdr:nvSpPr>
        <xdr:spPr>
          <a:xfrm>
            <a:off x="2667000" y="1421864"/>
            <a:ext cx="4672013" cy="1518650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pic>
        <xdr:nvPicPr>
          <xdr:cNvPr id="22" name="Imagem 21">
            <a:extLst>
              <a:ext uri="{FF2B5EF4-FFF2-40B4-BE49-F238E27FC236}">
                <a16:creationId xmlns:a16="http://schemas.microsoft.com/office/drawing/2014/main" id="{CE8E9B8F-A93B-62B0-D121-55B1F87FAB1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822336" y="1735408"/>
            <a:ext cx="1223565" cy="1224486"/>
          </a:xfrm>
          <a:prstGeom prst="rect">
            <a:avLst/>
          </a:prstGeom>
        </xdr:spPr>
      </xdr:pic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E42D447A-197E-D232-68FA-D4BF2CBF4419}"/>
              </a:ext>
            </a:extLst>
          </xdr:cNvPr>
          <xdr:cNvSpPr/>
        </xdr:nvSpPr>
        <xdr:spPr>
          <a:xfrm>
            <a:off x="2667000" y="1304925"/>
            <a:ext cx="4672013" cy="45439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FATURAMENTO 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DA </a:t>
            </a:r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EA PLAY SEASON PASS</a:t>
            </a:r>
          </a:p>
        </xdr:txBody>
      </xdr:sp>
      <xdr:sp macro="" textlink="C̳álculos!E25">
        <xdr:nvSpPr>
          <xdr:cNvPr id="25" name="CaixaDeTexto 24">
            <a:extLst>
              <a:ext uri="{FF2B5EF4-FFF2-40B4-BE49-F238E27FC236}">
                <a16:creationId xmlns:a16="http://schemas.microsoft.com/office/drawing/2014/main" id="{066CE1CF-21FC-1450-12A6-DAE038DBCAF0}"/>
              </a:ext>
            </a:extLst>
          </xdr:cNvPr>
          <xdr:cNvSpPr txBox="1"/>
        </xdr:nvSpPr>
        <xdr:spPr>
          <a:xfrm>
            <a:off x="4295775" y="1914263"/>
            <a:ext cx="2895600" cy="86677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40F8046A-D455-4037-9181-9A9E49CA631C}" type="TxLink">
              <a:rPr lang="en-US" sz="3600" b="0" i="0" u="none" strike="noStrike">
                <a:ln>
                  <a:noFill/>
                </a:ln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/>
              <a:t> R$ 990,00 </a:t>
            </a:fld>
            <a:endParaRPr lang="en-US" sz="3600">
              <a:ln>
                <a:noFill/>
              </a:ln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9</xdr:col>
      <xdr:colOff>19050</xdr:colOff>
      <xdr:row>4</xdr:row>
      <xdr:rowOff>153591</xdr:rowOff>
    </xdr:from>
    <xdr:to>
      <xdr:col>16</xdr:col>
      <xdr:colOff>592931</xdr:colOff>
      <xdr:row>11</xdr:row>
      <xdr:rowOff>75010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D5A50E15-F944-4973-BE55-B5F7F72C1502}"/>
            </a:ext>
          </a:extLst>
        </xdr:cNvPr>
        <xdr:cNvGrpSpPr/>
      </xdr:nvGrpSpPr>
      <xdr:grpSpPr>
        <a:xfrm>
          <a:off x="8143875" y="1277541"/>
          <a:ext cx="4669631" cy="1578769"/>
          <a:chOff x="7534275" y="1247775"/>
          <a:chExt cx="4655344" cy="1571625"/>
        </a:xfrm>
      </xdr:grpSpPr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268DCA21-9D45-91E2-F7D0-69FA8BE758A5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34" name="Retângulo: Cantos Arredondados 33">
              <a:extLst>
                <a:ext uri="{FF2B5EF4-FFF2-40B4-BE49-F238E27FC236}">
                  <a16:creationId xmlns:a16="http://schemas.microsoft.com/office/drawing/2014/main" id="{AE33BDBE-02F8-5F8D-B0C2-BC488CBCBD8D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3">
          <xdr:nvSpPr>
            <xdr:cNvPr id="35" name="Retângulo: Cantos Arredondados 34">
              <a:extLst>
                <a:ext uri="{FF2B5EF4-FFF2-40B4-BE49-F238E27FC236}">
                  <a16:creationId xmlns:a16="http://schemas.microsoft.com/office/drawing/2014/main" id="{4DBF1268-960E-B6E3-47A5-6451D64F37F7}"/>
                </a:ext>
              </a:extLst>
            </xdr:cNvPr>
            <xdr:cNvSpPr/>
          </xdr:nvSpPr>
          <xdr:spPr>
            <a:xfrm>
              <a:off x="3269283" y="1633883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1597D4C9-FEDB-4929-9890-09F3DEAFC7CD}" type="TxLink">
                <a:rPr lang="en-US" sz="3600" b="0" i="0" u="none" strike="noStrike" kern="1200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36" name="Retângulo: Cantos Superiores Arredondados 35">
              <a:extLst>
                <a:ext uri="{FF2B5EF4-FFF2-40B4-BE49-F238E27FC236}">
                  <a16:creationId xmlns:a16="http://schemas.microsoft.com/office/drawing/2014/main" id="{B0810962-40B6-1242-03F9-B5FE6A3F3467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FATURAMENTO DO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CC996810-A4C7-80EE-1351-F79DD77BCF63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32" name="Imagem 31">
              <a:extLst>
                <a:ext uri="{FF2B5EF4-FFF2-40B4-BE49-F238E27FC236}">
                  <a16:creationId xmlns:a16="http://schemas.microsoft.com/office/drawing/2014/main" id="{31EA4429-CA08-A473-F0D8-BBA62F80FAD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3" name="Gráfico 32">
              <a:extLst>
                <a:ext uri="{FF2B5EF4-FFF2-40B4-BE49-F238E27FC236}">
                  <a16:creationId xmlns:a16="http://schemas.microsoft.com/office/drawing/2014/main" id="{5C2D3830-446B-4D9D-953A-96F912F9D37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61912</xdr:colOff>
      <xdr:row>13</xdr:row>
      <xdr:rowOff>47625</xdr:rowOff>
    </xdr:from>
    <xdr:to>
      <xdr:col>17</xdr:col>
      <xdr:colOff>38100</xdr:colOff>
      <xdr:row>30</xdr:row>
      <xdr:rowOff>76200</xdr:rowOff>
    </xdr:to>
    <xdr:grpSp>
      <xdr:nvGrpSpPr>
        <xdr:cNvPr id="38" name="Agrupar 37">
          <a:extLst>
            <a:ext uri="{FF2B5EF4-FFF2-40B4-BE49-F238E27FC236}">
              <a16:creationId xmlns:a16="http://schemas.microsoft.com/office/drawing/2014/main" id="{2D1C4EB0-3D33-9008-801E-4F9EFE18BB61}"/>
            </a:ext>
          </a:extLst>
        </xdr:cNvPr>
        <xdr:cNvGrpSpPr/>
      </xdr:nvGrpSpPr>
      <xdr:grpSpPr>
        <a:xfrm>
          <a:off x="2709862" y="3209925"/>
          <a:ext cx="10158413" cy="3267075"/>
          <a:chOff x="2690812" y="3086100"/>
          <a:chExt cx="10158413" cy="3267075"/>
        </a:xfrm>
      </xdr:grpSpPr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C4461AD8-9EEE-44AC-92C4-884F3DDDA30C}"/>
              </a:ext>
            </a:extLst>
          </xdr:cNvPr>
          <xdr:cNvGraphicFramePr>
            <a:graphicFrameLocks/>
          </xdr:cNvGraphicFramePr>
        </xdr:nvGraphicFramePr>
        <xdr:xfrm>
          <a:off x="3762375" y="3638551"/>
          <a:ext cx="9086850" cy="27146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7" name="Retângulo: Cantos Superiores Arredondados 36">
            <a:extLst>
              <a:ext uri="{FF2B5EF4-FFF2-40B4-BE49-F238E27FC236}">
                <a16:creationId xmlns:a16="http://schemas.microsoft.com/office/drawing/2014/main" id="{218E79A1-328F-464E-B2F5-2C36E1C93ACE}"/>
              </a:ext>
            </a:extLst>
          </xdr:cNvPr>
          <xdr:cNvSpPr/>
        </xdr:nvSpPr>
        <xdr:spPr>
          <a:xfrm>
            <a:off x="2690812" y="3086100"/>
            <a:ext cx="10153650" cy="45439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FATURAMENTO TOTAL 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DO GAME </a:t>
            </a:r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PASS</a:t>
            </a:r>
          </a:p>
        </xdr:txBody>
      </xdr:sp>
    </xdr:grpSp>
    <xdr:clientData/>
  </xdr:twoCellAnchor>
  <xdr:twoCellAnchor editAs="absolute">
    <xdr:from>
      <xdr:col>1</xdr:col>
      <xdr:colOff>228600</xdr:colOff>
      <xdr:row>3</xdr:row>
      <xdr:rowOff>57150</xdr:rowOff>
    </xdr:from>
    <xdr:to>
      <xdr:col>7</xdr:col>
      <xdr:colOff>395169</xdr:colOff>
      <xdr:row>4</xdr:row>
      <xdr:rowOff>38900</xdr:rowOff>
    </xdr:to>
    <xdr:sp macro="" textlink="">
      <xdr:nvSpPr>
        <xdr:cNvPr id="39" name="Retângulo 38">
          <a:extLst>
            <a:ext uri="{FF2B5EF4-FFF2-40B4-BE49-F238E27FC236}">
              <a16:creationId xmlns:a16="http://schemas.microsoft.com/office/drawing/2014/main" id="{95723543-7FFC-401C-8D2C-6F8D81484802}"/>
            </a:ext>
          </a:extLst>
        </xdr:cNvPr>
        <xdr:cNvSpPr/>
      </xdr:nvSpPr>
      <xdr:spPr>
        <a:xfrm>
          <a:off x="2638425" y="933450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Período de atualização: De 12/12/2025</a:t>
          </a:r>
          <a:r>
            <a:rPr lang="pt-BR" sz="1050" b="0" kern="1200" baseline="0">
              <a:solidFill>
                <a:schemeClr val="bg1">
                  <a:lumMod val="50000"/>
                </a:schemeClr>
              </a:solidFill>
            </a:rPr>
            <a:t> 09:00:00 até 07/02/2026 15:00:00</a:t>
          </a:r>
          <a:endParaRPr lang="pt-BR" sz="1050" b="0" kern="12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777648</xdr:colOff>
      <xdr:row>1</xdr:row>
      <xdr:rowOff>19050</xdr:rowOff>
    </xdr:from>
    <xdr:to>
      <xdr:col>0</xdr:col>
      <xdr:colOff>1498827</xdr:colOff>
      <xdr:row>3</xdr:row>
      <xdr:rowOff>23133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0BD238EA-94B9-4895-A02D-32090A30664C}"/>
            </a:ext>
          </a:extLst>
        </xdr:cNvPr>
        <xdr:cNvSpPr/>
      </xdr:nvSpPr>
      <xdr:spPr>
        <a:xfrm>
          <a:off x="777648" y="180975"/>
          <a:ext cx="721179" cy="718458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428625</xdr:colOff>
      <xdr:row>3</xdr:row>
      <xdr:rowOff>120783</xdr:rowOff>
    </xdr:from>
    <xdr:to>
      <xdr:col>0</xdr:col>
      <xdr:colOff>1847850</xdr:colOff>
      <xdr:row>4</xdr:row>
      <xdr:rowOff>123824</xdr:rowOff>
    </xdr:to>
    <xdr:sp macro="" textlink="">
      <xdr:nvSpPr>
        <xdr:cNvPr id="41" name="Retângulo 40">
          <a:extLst>
            <a:ext uri="{FF2B5EF4-FFF2-40B4-BE49-F238E27FC236}">
              <a16:creationId xmlns:a16="http://schemas.microsoft.com/office/drawing/2014/main" id="{4CEE8F69-9C28-45B0-A0AA-541BEAB16429}"/>
            </a:ext>
          </a:extLst>
        </xdr:cNvPr>
        <xdr:cNvSpPr/>
      </xdr:nvSpPr>
      <xdr:spPr>
        <a:xfrm>
          <a:off x="428625" y="997083"/>
          <a:ext cx="1419225" cy="25069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</a:t>
          </a:r>
          <a:r>
            <a:rPr lang="pt-BR" sz="1100" b="1" kern="1200" baseline="0"/>
            <a:t> Gestora</a:t>
          </a:r>
        </a:p>
      </xdr:txBody>
    </xdr:sp>
    <xdr:clientData/>
  </xdr:twoCellAnchor>
  <xdr:twoCellAnchor>
    <xdr:from>
      <xdr:col>2</xdr:col>
      <xdr:colOff>211931</xdr:colOff>
      <xdr:row>18</xdr:row>
      <xdr:rowOff>23813</xdr:rowOff>
    </xdr:from>
    <xdr:to>
      <xdr:col>3</xdr:col>
      <xdr:colOff>450056</xdr:colOff>
      <xdr:row>20</xdr:row>
      <xdr:rowOff>110377</xdr:rowOff>
    </xdr:to>
    <xdr:sp macro="" textlink="">
      <xdr:nvSpPr>
        <xdr:cNvPr id="42" name="CaixaDeTexto 41">
          <a:extLst>
            <a:ext uri="{FF2B5EF4-FFF2-40B4-BE49-F238E27FC236}">
              <a16:creationId xmlns:a16="http://schemas.microsoft.com/office/drawing/2014/main" id="{2436B6C9-1DFA-4654-8D21-B546BFFAB661}"/>
            </a:ext>
          </a:extLst>
        </xdr:cNvPr>
        <xdr:cNvSpPr txBox="1"/>
      </xdr:nvSpPr>
      <xdr:spPr>
        <a:xfrm>
          <a:off x="2859881" y="4138613"/>
          <a:ext cx="1209675" cy="4675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1100">
              <a:solidFill>
                <a:schemeClr val="accent6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Renovação Automática:</a:t>
          </a:r>
        </a:p>
      </xdr:txBody>
    </xdr:sp>
    <xdr:clientData/>
  </xdr:twoCellAnchor>
  <xdr:twoCellAnchor>
    <xdr:from>
      <xdr:col>2</xdr:col>
      <xdr:colOff>240506</xdr:colOff>
      <xdr:row>24</xdr:row>
      <xdr:rowOff>176213</xdr:rowOff>
    </xdr:from>
    <xdr:to>
      <xdr:col>3</xdr:col>
      <xdr:colOff>478631</xdr:colOff>
      <xdr:row>27</xdr:row>
      <xdr:rowOff>72277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44857A89-2041-4AEE-9082-CBAA775C25B8}"/>
            </a:ext>
          </a:extLst>
        </xdr:cNvPr>
        <xdr:cNvSpPr txBox="1"/>
      </xdr:nvSpPr>
      <xdr:spPr>
        <a:xfrm>
          <a:off x="2888456" y="5434013"/>
          <a:ext cx="1209675" cy="4675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1100">
              <a:solidFill>
                <a:schemeClr val="accent6">
                  <a:lumMod val="50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Sem Renovação Automática: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 do Windows" refreshedDate="46059.924299305552" createdVersion="8" refreshedVersion="8" minRefreshableVersion="3" recordCount="295" xr:uid="{A893170D-891A-4EBC-98EF-FB311A34828F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30742476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x v="0"/>
    <n v="20"/>
    <n v="5"/>
    <x v="0"/>
  </r>
  <r>
    <n v="3232"/>
    <x v="1"/>
    <x v="1"/>
    <d v="2024-01-15T00:00:00"/>
    <x v="1"/>
    <n v="5"/>
    <x v="1"/>
    <x v="1"/>
    <x v="1"/>
    <x v="1"/>
    <n v="0"/>
    <n v="0"/>
    <x v="1"/>
  </r>
  <r>
    <n v="3233"/>
    <x v="2"/>
    <x v="2"/>
    <d v="2024-02-10T00:00:00"/>
    <x v="0"/>
    <n v="10"/>
    <x v="2"/>
    <x v="1"/>
    <x v="1"/>
    <x v="0"/>
    <n v="20"/>
    <n v="10"/>
    <x v="2"/>
  </r>
  <r>
    <n v="3234"/>
    <x v="3"/>
    <x v="0"/>
    <d v="2024-02-20T00:00:00"/>
    <x v="1"/>
    <n v="15"/>
    <x v="0"/>
    <x v="0"/>
    <x v="0"/>
    <x v="0"/>
    <n v="20"/>
    <n v="3"/>
    <x v="3"/>
  </r>
  <r>
    <n v="3235"/>
    <x v="4"/>
    <x v="1"/>
    <d v="2024-03-05T00:00:00"/>
    <x v="0"/>
    <n v="5"/>
    <x v="0"/>
    <x v="1"/>
    <x v="1"/>
    <x v="1"/>
    <n v="0"/>
    <n v="1"/>
    <x v="4"/>
  </r>
  <r>
    <n v="3236"/>
    <x v="5"/>
    <x v="2"/>
    <d v="2024-03-02T00:00:00"/>
    <x v="1"/>
    <n v="10"/>
    <x v="0"/>
    <x v="1"/>
    <x v="1"/>
    <x v="0"/>
    <n v="20"/>
    <n v="2"/>
    <x v="5"/>
  </r>
  <r>
    <n v="3237"/>
    <x v="6"/>
    <x v="0"/>
    <d v="2024-03-03T00:00:00"/>
    <x v="0"/>
    <n v="15"/>
    <x v="2"/>
    <x v="0"/>
    <x v="0"/>
    <x v="0"/>
    <n v="20"/>
    <n v="10"/>
    <x v="6"/>
  </r>
  <r>
    <n v="3238"/>
    <x v="7"/>
    <x v="1"/>
    <d v="2024-03-04T00:00:00"/>
    <x v="0"/>
    <n v="5"/>
    <x v="1"/>
    <x v="1"/>
    <x v="1"/>
    <x v="1"/>
    <n v="0"/>
    <n v="0"/>
    <x v="1"/>
  </r>
  <r>
    <n v="3239"/>
    <x v="8"/>
    <x v="0"/>
    <d v="2024-03-05T00:00:00"/>
    <x v="1"/>
    <n v="15"/>
    <x v="0"/>
    <x v="0"/>
    <x v="0"/>
    <x v="0"/>
    <n v="20"/>
    <n v="5"/>
    <x v="0"/>
  </r>
  <r>
    <n v="3240"/>
    <x v="9"/>
    <x v="2"/>
    <d v="2024-03-06T00:00:00"/>
    <x v="0"/>
    <n v="10"/>
    <x v="2"/>
    <x v="1"/>
    <x v="1"/>
    <x v="0"/>
    <n v="20"/>
    <n v="15"/>
    <x v="7"/>
  </r>
  <r>
    <n v="3241"/>
    <x v="10"/>
    <x v="1"/>
    <d v="2024-03-07T00:00:00"/>
    <x v="1"/>
    <n v="5"/>
    <x v="0"/>
    <x v="1"/>
    <x v="1"/>
    <x v="1"/>
    <n v="0"/>
    <n v="1"/>
    <x v="4"/>
  </r>
  <r>
    <n v="3242"/>
    <x v="11"/>
    <x v="0"/>
    <d v="2024-03-08T00:00:00"/>
    <x v="0"/>
    <n v="15"/>
    <x v="1"/>
    <x v="0"/>
    <x v="0"/>
    <x v="0"/>
    <n v="20"/>
    <n v="20"/>
    <x v="8"/>
  </r>
  <r>
    <n v="3243"/>
    <x v="12"/>
    <x v="2"/>
    <d v="2024-03-09T00:00:00"/>
    <x v="1"/>
    <n v="10"/>
    <x v="0"/>
    <x v="1"/>
    <x v="1"/>
    <x v="0"/>
    <n v="20"/>
    <n v="10"/>
    <x v="2"/>
  </r>
  <r>
    <n v="3244"/>
    <x v="13"/>
    <x v="1"/>
    <d v="2024-03-10T00:00:00"/>
    <x v="0"/>
    <n v="5"/>
    <x v="2"/>
    <x v="1"/>
    <x v="1"/>
    <x v="1"/>
    <n v="0"/>
    <n v="0"/>
    <x v="1"/>
  </r>
  <r>
    <n v="3245"/>
    <x v="14"/>
    <x v="0"/>
    <d v="2024-03-11T00:00:00"/>
    <x v="1"/>
    <n v="15"/>
    <x v="0"/>
    <x v="0"/>
    <x v="0"/>
    <x v="0"/>
    <n v="20"/>
    <n v="8"/>
    <x v="9"/>
  </r>
  <r>
    <n v="3246"/>
    <x v="15"/>
    <x v="2"/>
    <d v="2024-03-12T00:00:00"/>
    <x v="0"/>
    <n v="10"/>
    <x v="1"/>
    <x v="1"/>
    <x v="1"/>
    <x v="0"/>
    <n v="20"/>
    <n v="12"/>
    <x v="10"/>
  </r>
  <r>
    <n v="3247"/>
    <x v="16"/>
    <x v="1"/>
    <d v="2024-03-13T00:00:00"/>
    <x v="1"/>
    <n v="5"/>
    <x v="0"/>
    <x v="1"/>
    <x v="1"/>
    <x v="1"/>
    <n v="0"/>
    <n v="2"/>
    <x v="11"/>
  </r>
  <r>
    <n v="3248"/>
    <x v="17"/>
    <x v="0"/>
    <d v="2024-03-14T00:00:00"/>
    <x v="0"/>
    <n v="15"/>
    <x v="2"/>
    <x v="0"/>
    <x v="0"/>
    <x v="0"/>
    <n v="20"/>
    <n v="7"/>
    <x v="12"/>
  </r>
  <r>
    <n v="3249"/>
    <x v="18"/>
    <x v="2"/>
    <d v="2024-03-15T00:00:00"/>
    <x v="1"/>
    <n v="10"/>
    <x v="0"/>
    <x v="1"/>
    <x v="1"/>
    <x v="0"/>
    <n v="20"/>
    <n v="5"/>
    <x v="13"/>
  </r>
  <r>
    <n v="3250"/>
    <x v="19"/>
    <x v="1"/>
    <d v="2024-03-16T00:00:00"/>
    <x v="0"/>
    <n v="5"/>
    <x v="1"/>
    <x v="1"/>
    <x v="1"/>
    <x v="1"/>
    <n v="0"/>
    <n v="0"/>
    <x v="1"/>
  </r>
  <r>
    <n v="3251"/>
    <x v="20"/>
    <x v="0"/>
    <d v="2024-03-17T00:00:00"/>
    <x v="1"/>
    <n v="15"/>
    <x v="0"/>
    <x v="0"/>
    <x v="0"/>
    <x v="0"/>
    <n v="20"/>
    <n v="3"/>
    <x v="3"/>
  </r>
  <r>
    <n v="3252"/>
    <x v="21"/>
    <x v="2"/>
    <d v="2024-03-18T00:00:00"/>
    <x v="0"/>
    <n v="10"/>
    <x v="2"/>
    <x v="1"/>
    <x v="1"/>
    <x v="0"/>
    <n v="20"/>
    <n v="15"/>
    <x v="7"/>
  </r>
  <r>
    <n v="3253"/>
    <x v="22"/>
    <x v="1"/>
    <d v="2024-03-19T00:00:00"/>
    <x v="1"/>
    <n v="5"/>
    <x v="0"/>
    <x v="1"/>
    <x v="1"/>
    <x v="1"/>
    <n v="0"/>
    <n v="1"/>
    <x v="4"/>
  </r>
  <r>
    <n v="3254"/>
    <x v="23"/>
    <x v="0"/>
    <d v="2024-03-20T00:00:00"/>
    <x v="0"/>
    <n v="15"/>
    <x v="1"/>
    <x v="0"/>
    <x v="0"/>
    <x v="0"/>
    <n v="20"/>
    <n v="20"/>
    <x v="8"/>
  </r>
  <r>
    <n v="3255"/>
    <x v="24"/>
    <x v="2"/>
    <d v="2024-03-21T00:00:00"/>
    <x v="1"/>
    <n v="10"/>
    <x v="0"/>
    <x v="1"/>
    <x v="1"/>
    <x v="0"/>
    <n v="20"/>
    <n v="10"/>
    <x v="2"/>
  </r>
  <r>
    <n v="3256"/>
    <x v="25"/>
    <x v="1"/>
    <d v="2024-03-22T00:00:00"/>
    <x v="0"/>
    <n v="5"/>
    <x v="2"/>
    <x v="1"/>
    <x v="1"/>
    <x v="1"/>
    <n v="0"/>
    <n v="0"/>
    <x v="1"/>
  </r>
  <r>
    <n v="3257"/>
    <x v="26"/>
    <x v="0"/>
    <d v="2024-03-23T00:00:00"/>
    <x v="1"/>
    <n v="15"/>
    <x v="0"/>
    <x v="0"/>
    <x v="0"/>
    <x v="0"/>
    <n v="20"/>
    <n v="5"/>
    <x v="0"/>
  </r>
  <r>
    <n v="3258"/>
    <x v="27"/>
    <x v="2"/>
    <d v="2024-03-24T00:00:00"/>
    <x v="0"/>
    <n v="10"/>
    <x v="1"/>
    <x v="1"/>
    <x v="1"/>
    <x v="0"/>
    <n v="20"/>
    <n v="15"/>
    <x v="7"/>
  </r>
  <r>
    <n v="3259"/>
    <x v="28"/>
    <x v="1"/>
    <d v="2024-03-25T00:00:00"/>
    <x v="1"/>
    <n v="5"/>
    <x v="0"/>
    <x v="1"/>
    <x v="1"/>
    <x v="1"/>
    <n v="0"/>
    <n v="1"/>
    <x v="4"/>
  </r>
  <r>
    <n v="3260"/>
    <x v="29"/>
    <x v="0"/>
    <d v="2024-03-26T00:00:00"/>
    <x v="0"/>
    <n v="15"/>
    <x v="2"/>
    <x v="0"/>
    <x v="0"/>
    <x v="0"/>
    <n v="20"/>
    <n v="7"/>
    <x v="12"/>
  </r>
  <r>
    <n v="3261"/>
    <x v="30"/>
    <x v="2"/>
    <d v="2024-03-27T00:00:00"/>
    <x v="1"/>
    <n v="10"/>
    <x v="0"/>
    <x v="1"/>
    <x v="1"/>
    <x v="0"/>
    <n v="20"/>
    <n v="10"/>
    <x v="2"/>
  </r>
  <r>
    <n v="3262"/>
    <x v="31"/>
    <x v="1"/>
    <d v="2024-03-28T00:00:00"/>
    <x v="0"/>
    <n v="5"/>
    <x v="1"/>
    <x v="1"/>
    <x v="1"/>
    <x v="1"/>
    <n v="0"/>
    <n v="0"/>
    <x v="1"/>
  </r>
  <r>
    <n v="3263"/>
    <x v="32"/>
    <x v="0"/>
    <d v="2024-03-29T00:00:00"/>
    <x v="1"/>
    <n v="15"/>
    <x v="0"/>
    <x v="0"/>
    <x v="0"/>
    <x v="0"/>
    <n v="20"/>
    <n v="3"/>
    <x v="3"/>
  </r>
  <r>
    <n v="3264"/>
    <x v="33"/>
    <x v="2"/>
    <d v="2024-03-30T00:00:00"/>
    <x v="0"/>
    <n v="10"/>
    <x v="2"/>
    <x v="1"/>
    <x v="1"/>
    <x v="0"/>
    <n v="20"/>
    <n v="15"/>
    <x v="7"/>
  </r>
  <r>
    <n v="3265"/>
    <x v="34"/>
    <x v="1"/>
    <d v="2024-03-31T00:00:00"/>
    <x v="1"/>
    <n v="5"/>
    <x v="0"/>
    <x v="1"/>
    <x v="1"/>
    <x v="1"/>
    <n v="0"/>
    <n v="1"/>
    <x v="4"/>
  </r>
  <r>
    <n v="3266"/>
    <x v="35"/>
    <x v="1"/>
    <d v="2024-04-01T00:00:00"/>
    <x v="0"/>
    <n v="5"/>
    <x v="0"/>
    <x v="1"/>
    <x v="1"/>
    <x v="1"/>
    <n v="0"/>
    <n v="0"/>
    <x v="1"/>
  </r>
  <r>
    <n v="3267"/>
    <x v="36"/>
    <x v="0"/>
    <d v="2024-04-02T00:00:00"/>
    <x v="1"/>
    <n v="15"/>
    <x v="2"/>
    <x v="0"/>
    <x v="0"/>
    <x v="0"/>
    <n v="20"/>
    <n v="7"/>
    <x v="12"/>
  </r>
  <r>
    <n v="3268"/>
    <x v="37"/>
    <x v="2"/>
    <d v="2024-04-03T00:00:00"/>
    <x v="0"/>
    <n v="10"/>
    <x v="1"/>
    <x v="1"/>
    <x v="1"/>
    <x v="0"/>
    <n v="20"/>
    <n v="10"/>
    <x v="2"/>
  </r>
  <r>
    <n v="3269"/>
    <x v="38"/>
    <x v="1"/>
    <d v="2024-04-04T00:00:00"/>
    <x v="1"/>
    <n v="5"/>
    <x v="2"/>
    <x v="1"/>
    <x v="1"/>
    <x v="1"/>
    <n v="0"/>
    <n v="1"/>
    <x v="4"/>
  </r>
  <r>
    <n v="3270"/>
    <x v="39"/>
    <x v="0"/>
    <d v="2024-04-05T00:00:00"/>
    <x v="0"/>
    <n v="15"/>
    <x v="0"/>
    <x v="0"/>
    <x v="0"/>
    <x v="0"/>
    <n v="20"/>
    <n v="15"/>
    <x v="14"/>
  </r>
  <r>
    <n v="3271"/>
    <x v="40"/>
    <x v="2"/>
    <d v="2024-04-06T00:00:00"/>
    <x v="1"/>
    <n v="10"/>
    <x v="0"/>
    <x v="1"/>
    <x v="1"/>
    <x v="0"/>
    <n v="20"/>
    <n v="5"/>
    <x v="13"/>
  </r>
  <r>
    <n v="3272"/>
    <x v="41"/>
    <x v="1"/>
    <d v="2024-04-07T00:00:00"/>
    <x v="0"/>
    <n v="5"/>
    <x v="1"/>
    <x v="1"/>
    <x v="1"/>
    <x v="1"/>
    <n v="0"/>
    <n v="0"/>
    <x v="1"/>
  </r>
  <r>
    <n v="3273"/>
    <x v="42"/>
    <x v="0"/>
    <d v="2024-04-08T00:00:00"/>
    <x v="1"/>
    <n v="15"/>
    <x v="2"/>
    <x v="0"/>
    <x v="0"/>
    <x v="0"/>
    <n v="20"/>
    <n v="20"/>
    <x v="8"/>
  </r>
  <r>
    <n v="3274"/>
    <x v="43"/>
    <x v="2"/>
    <d v="2024-04-09T00:00:00"/>
    <x v="0"/>
    <n v="10"/>
    <x v="2"/>
    <x v="1"/>
    <x v="1"/>
    <x v="0"/>
    <n v="20"/>
    <n v="12"/>
    <x v="10"/>
  </r>
  <r>
    <n v="3275"/>
    <x v="44"/>
    <x v="1"/>
    <d v="2024-04-10T00:00:00"/>
    <x v="1"/>
    <n v="5"/>
    <x v="0"/>
    <x v="1"/>
    <x v="1"/>
    <x v="1"/>
    <n v="0"/>
    <n v="2"/>
    <x v="11"/>
  </r>
  <r>
    <n v="3276"/>
    <x v="45"/>
    <x v="0"/>
    <d v="2024-04-11T00:00:00"/>
    <x v="0"/>
    <n v="15"/>
    <x v="1"/>
    <x v="0"/>
    <x v="0"/>
    <x v="0"/>
    <n v="20"/>
    <n v="5"/>
    <x v="0"/>
  </r>
  <r>
    <n v="3277"/>
    <x v="46"/>
    <x v="2"/>
    <d v="2024-04-12T00:00:00"/>
    <x v="1"/>
    <n v="10"/>
    <x v="0"/>
    <x v="1"/>
    <x v="1"/>
    <x v="0"/>
    <n v="20"/>
    <n v="10"/>
    <x v="2"/>
  </r>
  <r>
    <n v="3278"/>
    <x v="47"/>
    <x v="1"/>
    <d v="2024-04-13T00:00:00"/>
    <x v="0"/>
    <n v="5"/>
    <x v="2"/>
    <x v="1"/>
    <x v="1"/>
    <x v="1"/>
    <n v="0"/>
    <n v="0"/>
    <x v="1"/>
  </r>
  <r>
    <n v="3279"/>
    <x v="48"/>
    <x v="0"/>
    <d v="2024-04-14T00:00:00"/>
    <x v="1"/>
    <n v="15"/>
    <x v="0"/>
    <x v="0"/>
    <x v="0"/>
    <x v="0"/>
    <n v="20"/>
    <n v="3"/>
    <x v="3"/>
  </r>
  <r>
    <n v="3280"/>
    <x v="49"/>
    <x v="2"/>
    <d v="2024-04-15T00:00:00"/>
    <x v="0"/>
    <n v="10"/>
    <x v="1"/>
    <x v="1"/>
    <x v="1"/>
    <x v="0"/>
    <n v="20"/>
    <n v="15"/>
    <x v="7"/>
  </r>
  <r>
    <n v="3281"/>
    <x v="50"/>
    <x v="1"/>
    <d v="2024-04-16T00:00:00"/>
    <x v="1"/>
    <n v="5"/>
    <x v="0"/>
    <x v="1"/>
    <x v="1"/>
    <x v="1"/>
    <n v="0"/>
    <n v="1"/>
    <x v="4"/>
  </r>
  <r>
    <n v="3282"/>
    <x v="51"/>
    <x v="0"/>
    <d v="2024-04-17T00:00:00"/>
    <x v="0"/>
    <n v="15"/>
    <x v="2"/>
    <x v="0"/>
    <x v="0"/>
    <x v="0"/>
    <n v="20"/>
    <n v="7"/>
    <x v="12"/>
  </r>
  <r>
    <n v="3283"/>
    <x v="52"/>
    <x v="2"/>
    <d v="2024-04-18T00:00:00"/>
    <x v="1"/>
    <n v="10"/>
    <x v="0"/>
    <x v="1"/>
    <x v="1"/>
    <x v="0"/>
    <n v="20"/>
    <n v="10"/>
    <x v="2"/>
  </r>
  <r>
    <n v="3284"/>
    <x v="53"/>
    <x v="1"/>
    <d v="2024-04-19T00:00:00"/>
    <x v="0"/>
    <n v="5"/>
    <x v="1"/>
    <x v="1"/>
    <x v="1"/>
    <x v="1"/>
    <n v="0"/>
    <n v="0"/>
    <x v="1"/>
  </r>
  <r>
    <n v="3285"/>
    <x v="54"/>
    <x v="0"/>
    <d v="2024-04-20T00:00:00"/>
    <x v="1"/>
    <n v="15"/>
    <x v="0"/>
    <x v="0"/>
    <x v="0"/>
    <x v="0"/>
    <n v="20"/>
    <n v="20"/>
    <x v="8"/>
  </r>
  <r>
    <n v="3286"/>
    <x v="55"/>
    <x v="2"/>
    <d v="2024-04-21T00:00:00"/>
    <x v="0"/>
    <n v="10"/>
    <x v="2"/>
    <x v="1"/>
    <x v="1"/>
    <x v="0"/>
    <n v="20"/>
    <n v="15"/>
    <x v="7"/>
  </r>
  <r>
    <n v="3287"/>
    <x v="56"/>
    <x v="1"/>
    <d v="2024-04-22T00:00:00"/>
    <x v="1"/>
    <n v="5"/>
    <x v="0"/>
    <x v="1"/>
    <x v="1"/>
    <x v="1"/>
    <n v="0"/>
    <n v="1"/>
    <x v="4"/>
  </r>
  <r>
    <n v="3288"/>
    <x v="57"/>
    <x v="0"/>
    <d v="2024-04-23T00:00:00"/>
    <x v="0"/>
    <n v="15"/>
    <x v="1"/>
    <x v="0"/>
    <x v="0"/>
    <x v="0"/>
    <n v="20"/>
    <n v="3"/>
    <x v="3"/>
  </r>
  <r>
    <n v="3289"/>
    <x v="58"/>
    <x v="2"/>
    <d v="2024-04-24T00:00:00"/>
    <x v="1"/>
    <n v="10"/>
    <x v="0"/>
    <x v="1"/>
    <x v="1"/>
    <x v="0"/>
    <n v="20"/>
    <n v="10"/>
    <x v="2"/>
  </r>
  <r>
    <n v="3290"/>
    <x v="59"/>
    <x v="1"/>
    <d v="2024-04-25T00:00:00"/>
    <x v="0"/>
    <n v="5"/>
    <x v="2"/>
    <x v="1"/>
    <x v="1"/>
    <x v="1"/>
    <n v="0"/>
    <n v="0"/>
    <x v="1"/>
  </r>
  <r>
    <n v="3291"/>
    <x v="60"/>
    <x v="0"/>
    <d v="2024-04-26T00:00:00"/>
    <x v="1"/>
    <n v="15"/>
    <x v="0"/>
    <x v="0"/>
    <x v="0"/>
    <x v="0"/>
    <n v="20"/>
    <n v="5"/>
    <x v="0"/>
  </r>
  <r>
    <n v="3292"/>
    <x v="61"/>
    <x v="2"/>
    <d v="2024-04-27T00:00:00"/>
    <x v="0"/>
    <n v="10"/>
    <x v="1"/>
    <x v="1"/>
    <x v="1"/>
    <x v="0"/>
    <n v="20"/>
    <n v="15"/>
    <x v="7"/>
  </r>
  <r>
    <n v="3293"/>
    <x v="62"/>
    <x v="1"/>
    <d v="2024-04-28T00:00:00"/>
    <x v="1"/>
    <n v="5"/>
    <x v="0"/>
    <x v="1"/>
    <x v="1"/>
    <x v="1"/>
    <n v="0"/>
    <n v="1"/>
    <x v="4"/>
  </r>
  <r>
    <n v="3294"/>
    <x v="63"/>
    <x v="0"/>
    <d v="2024-04-29T00:00:00"/>
    <x v="0"/>
    <n v="15"/>
    <x v="2"/>
    <x v="0"/>
    <x v="0"/>
    <x v="0"/>
    <n v="20"/>
    <n v="20"/>
    <x v="8"/>
  </r>
  <r>
    <n v="3295"/>
    <x v="64"/>
    <x v="2"/>
    <d v="2024-04-30T00:00:00"/>
    <x v="1"/>
    <n v="10"/>
    <x v="0"/>
    <x v="1"/>
    <x v="1"/>
    <x v="0"/>
    <n v="20"/>
    <n v="5"/>
    <x v="13"/>
  </r>
  <r>
    <n v="3296"/>
    <x v="65"/>
    <x v="1"/>
    <d v="2024-05-01T00:00:00"/>
    <x v="1"/>
    <n v="5"/>
    <x v="0"/>
    <x v="1"/>
    <x v="1"/>
    <x v="1"/>
    <n v="0"/>
    <n v="0"/>
    <x v="1"/>
  </r>
  <r>
    <n v="3297"/>
    <x v="66"/>
    <x v="0"/>
    <d v="2024-05-02T00:00:00"/>
    <x v="0"/>
    <n v="15"/>
    <x v="2"/>
    <x v="0"/>
    <x v="0"/>
    <x v="0"/>
    <n v="20"/>
    <n v="7"/>
    <x v="12"/>
  </r>
  <r>
    <n v="3298"/>
    <x v="67"/>
    <x v="2"/>
    <d v="2024-05-03T00:00:00"/>
    <x v="1"/>
    <n v="10"/>
    <x v="1"/>
    <x v="1"/>
    <x v="1"/>
    <x v="0"/>
    <n v="20"/>
    <n v="10"/>
    <x v="2"/>
  </r>
  <r>
    <n v="3299"/>
    <x v="68"/>
    <x v="1"/>
    <d v="2024-05-04T00:00:00"/>
    <x v="0"/>
    <n v="5"/>
    <x v="2"/>
    <x v="1"/>
    <x v="1"/>
    <x v="1"/>
    <n v="0"/>
    <n v="1"/>
    <x v="4"/>
  </r>
  <r>
    <n v="3300"/>
    <x v="69"/>
    <x v="0"/>
    <d v="2024-05-05T00:00:00"/>
    <x v="1"/>
    <n v="15"/>
    <x v="0"/>
    <x v="0"/>
    <x v="0"/>
    <x v="0"/>
    <n v="20"/>
    <n v="15"/>
    <x v="14"/>
  </r>
  <r>
    <n v="3301"/>
    <x v="70"/>
    <x v="2"/>
    <d v="2024-05-06T00:00:00"/>
    <x v="0"/>
    <n v="10"/>
    <x v="0"/>
    <x v="1"/>
    <x v="1"/>
    <x v="0"/>
    <n v="20"/>
    <n v="5"/>
    <x v="13"/>
  </r>
  <r>
    <n v="3302"/>
    <x v="71"/>
    <x v="1"/>
    <d v="2024-05-07T00:00:00"/>
    <x v="1"/>
    <n v="5"/>
    <x v="1"/>
    <x v="1"/>
    <x v="1"/>
    <x v="1"/>
    <n v="0"/>
    <n v="0"/>
    <x v="1"/>
  </r>
  <r>
    <n v="3303"/>
    <x v="72"/>
    <x v="0"/>
    <d v="2024-05-08T00:00:00"/>
    <x v="0"/>
    <n v="15"/>
    <x v="2"/>
    <x v="0"/>
    <x v="0"/>
    <x v="0"/>
    <n v="20"/>
    <n v="20"/>
    <x v="8"/>
  </r>
  <r>
    <n v="3304"/>
    <x v="73"/>
    <x v="2"/>
    <d v="2024-05-09T00:00:00"/>
    <x v="1"/>
    <n v="10"/>
    <x v="2"/>
    <x v="1"/>
    <x v="1"/>
    <x v="0"/>
    <n v="20"/>
    <n v="12"/>
    <x v="10"/>
  </r>
  <r>
    <n v="3305"/>
    <x v="74"/>
    <x v="1"/>
    <d v="2024-05-10T00:00:00"/>
    <x v="0"/>
    <n v="5"/>
    <x v="0"/>
    <x v="1"/>
    <x v="1"/>
    <x v="1"/>
    <n v="0"/>
    <n v="2"/>
    <x v="11"/>
  </r>
  <r>
    <n v="3306"/>
    <x v="75"/>
    <x v="0"/>
    <d v="2024-05-11T00:00:00"/>
    <x v="1"/>
    <n v="15"/>
    <x v="1"/>
    <x v="0"/>
    <x v="0"/>
    <x v="0"/>
    <n v="20"/>
    <n v="5"/>
    <x v="0"/>
  </r>
  <r>
    <n v="3307"/>
    <x v="76"/>
    <x v="2"/>
    <d v="2024-05-12T00:00:00"/>
    <x v="0"/>
    <n v="10"/>
    <x v="0"/>
    <x v="1"/>
    <x v="1"/>
    <x v="0"/>
    <n v="20"/>
    <n v="10"/>
    <x v="2"/>
  </r>
  <r>
    <n v="3308"/>
    <x v="77"/>
    <x v="1"/>
    <d v="2024-05-13T00:00:00"/>
    <x v="1"/>
    <n v="5"/>
    <x v="2"/>
    <x v="1"/>
    <x v="1"/>
    <x v="1"/>
    <n v="0"/>
    <n v="0"/>
    <x v="1"/>
  </r>
  <r>
    <n v="3309"/>
    <x v="78"/>
    <x v="0"/>
    <d v="2024-05-14T00:00:00"/>
    <x v="0"/>
    <n v="15"/>
    <x v="0"/>
    <x v="0"/>
    <x v="0"/>
    <x v="0"/>
    <n v="20"/>
    <n v="3"/>
    <x v="3"/>
  </r>
  <r>
    <n v="3310"/>
    <x v="79"/>
    <x v="2"/>
    <d v="2024-05-15T00:00:00"/>
    <x v="1"/>
    <n v="10"/>
    <x v="1"/>
    <x v="1"/>
    <x v="1"/>
    <x v="0"/>
    <n v="20"/>
    <n v="15"/>
    <x v="7"/>
  </r>
  <r>
    <n v="3311"/>
    <x v="80"/>
    <x v="1"/>
    <d v="2024-05-16T00:00:00"/>
    <x v="0"/>
    <n v="5"/>
    <x v="0"/>
    <x v="1"/>
    <x v="1"/>
    <x v="1"/>
    <n v="0"/>
    <n v="1"/>
    <x v="4"/>
  </r>
  <r>
    <n v="3312"/>
    <x v="81"/>
    <x v="0"/>
    <d v="2024-05-17T00:00:00"/>
    <x v="1"/>
    <n v="15"/>
    <x v="2"/>
    <x v="0"/>
    <x v="0"/>
    <x v="0"/>
    <n v="20"/>
    <n v="7"/>
    <x v="12"/>
  </r>
  <r>
    <n v="3313"/>
    <x v="82"/>
    <x v="2"/>
    <d v="2024-05-18T00:00:00"/>
    <x v="0"/>
    <n v="10"/>
    <x v="0"/>
    <x v="1"/>
    <x v="1"/>
    <x v="0"/>
    <n v="20"/>
    <n v="10"/>
    <x v="2"/>
  </r>
  <r>
    <n v="3314"/>
    <x v="83"/>
    <x v="1"/>
    <d v="2024-05-19T00:00:00"/>
    <x v="1"/>
    <n v="5"/>
    <x v="1"/>
    <x v="1"/>
    <x v="1"/>
    <x v="1"/>
    <n v="0"/>
    <n v="0"/>
    <x v="1"/>
  </r>
  <r>
    <n v="3315"/>
    <x v="84"/>
    <x v="0"/>
    <d v="2024-05-20T00:00:00"/>
    <x v="0"/>
    <n v="15"/>
    <x v="0"/>
    <x v="0"/>
    <x v="0"/>
    <x v="0"/>
    <n v="20"/>
    <n v="20"/>
    <x v="8"/>
  </r>
  <r>
    <n v="3316"/>
    <x v="85"/>
    <x v="2"/>
    <d v="2024-05-21T00:00:00"/>
    <x v="1"/>
    <n v="10"/>
    <x v="2"/>
    <x v="1"/>
    <x v="1"/>
    <x v="0"/>
    <n v="20"/>
    <n v="15"/>
    <x v="7"/>
  </r>
  <r>
    <n v="3317"/>
    <x v="86"/>
    <x v="1"/>
    <d v="2024-05-22T00:00:00"/>
    <x v="0"/>
    <n v="5"/>
    <x v="0"/>
    <x v="1"/>
    <x v="1"/>
    <x v="1"/>
    <n v="0"/>
    <n v="1"/>
    <x v="4"/>
  </r>
  <r>
    <n v="3318"/>
    <x v="87"/>
    <x v="0"/>
    <d v="2024-05-23T00:00:00"/>
    <x v="1"/>
    <n v="15"/>
    <x v="1"/>
    <x v="0"/>
    <x v="0"/>
    <x v="0"/>
    <n v="20"/>
    <n v="3"/>
    <x v="3"/>
  </r>
  <r>
    <n v="3319"/>
    <x v="88"/>
    <x v="2"/>
    <d v="2024-05-24T00:00:00"/>
    <x v="0"/>
    <n v="10"/>
    <x v="0"/>
    <x v="1"/>
    <x v="1"/>
    <x v="0"/>
    <n v="20"/>
    <n v="10"/>
    <x v="2"/>
  </r>
  <r>
    <n v="3320"/>
    <x v="89"/>
    <x v="1"/>
    <d v="2024-05-25T00:00:00"/>
    <x v="1"/>
    <n v="5"/>
    <x v="2"/>
    <x v="1"/>
    <x v="1"/>
    <x v="1"/>
    <n v="0"/>
    <n v="0"/>
    <x v="1"/>
  </r>
  <r>
    <n v="3321"/>
    <x v="90"/>
    <x v="0"/>
    <d v="2024-05-26T00:00:00"/>
    <x v="0"/>
    <n v="15"/>
    <x v="0"/>
    <x v="0"/>
    <x v="0"/>
    <x v="0"/>
    <n v="20"/>
    <n v="5"/>
    <x v="0"/>
  </r>
  <r>
    <n v="3322"/>
    <x v="91"/>
    <x v="2"/>
    <d v="2024-05-27T00:00:00"/>
    <x v="1"/>
    <n v="10"/>
    <x v="1"/>
    <x v="1"/>
    <x v="1"/>
    <x v="0"/>
    <n v="20"/>
    <n v="15"/>
    <x v="7"/>
  </r>
  <r>
    <n v="3323"/>
    <x v="92"/>
    <x v="1"/>
    <d v="2024-05-28T00:00:00"/>
    <x v="0"/>
    <n v="5"/>
    <x v="0"/>
    <x v="1"/>
    <x v="1"/>
    <x v="1"/>
    <n v="0"/>
    <n v="1"/>
    <x v="4"/>
  </r>
  <r>
    <n v="3324"/>
    <x v="93"/>
    <x v="0"/>
    <d v="2024-05-29T00:00:00"/>
    <x v="1"/>
    <n v="15"/>
    <x v="2"/>
    <x v="0"/>
    <x v="0"/>
    <x v="0"/>
    <n v="20"/>
    <n v="20"/>
    <x v="8"/>
  </r>
  <r>
    <n v="3325"/>
    <x v="94"/>
    <x v="2"/>
    <d v="2024-05-30T00:00:00"/>
    <x v="0"/>
    <n v="10"/>
    <x v="2"/>
    <x v="1"/>
    <x v="1"/>
    <x v="0"/>
    <n v="20"/>
    <n v="15"/>
    <x v="7"/>
  </r>
  <r>
    <n v="3326"/>
    <x v="95"/>
    <x v="1"/>
    <d v="2024-05-31T00:00:00"/>
    <x v="1"/>
    <n v="5"/>
    <x v="1"/>
    <x v="1"/>
    <x v="1"/>
    <x v="1"/>
    <n v="0"/>
    <n v="0"/>
    <x v="1"/>
  </r>
  <r>
    <n v="3327"/>
    <x v="96"/>
    <x v="0"/>
    <d v="2024-06-01T00:00:00"/>
    <x v="0"/>
    <n v="15"/>
    <x v="0"/>
    <x v="0"/>
    <x v="0"/>
    <x v="0"/>
    <n v="20"/>
    <n v="7"/>
    <x v="12"/>
  </r>
  <r>
    <n v="3328"/>
    <x v="97"/>
    <x v="2"/>
    <d v="2024-06-02T00:00:00"/>
    <x v="1"/>
    <n v="10"/>
    <x v="1"/>
    <x v="1"/>
    <x v="1"/>
    <x v="0"/>
    <n v="20"/>
    <n v="10"/>
    <x v="2"/>
  </r>
  <r>
    <n v="3329"/>
    <x v="98"/>
    <x v="1"/>
    <d v="2024-06-03T00:00:00"/>
    <x v="0"/>
    <n v="5"/>
    <x v="2"/>
    <x v="1"/>
    <x v="1"/>
    <x v="1"/>
    <n v="0"/>
    <n v="1"/>
    <x v="4"/>
  </r>
  <r>
    <n v="3330"/>
    <x v="99"/>
    <x v="0"/>
    <d v="2024-06-04T00:00:00"/>
    <x v="1"/>
    <n v="15"/>
    <x v="0"/>
    <x v="0"/>
    <x v="0"/>
    <x v="0"/>
    <n v="20"/>
    <n v="15"/>
    <x v="14"/>
  </r>
  <r>
    <n v="3331"/>
    <x v="100"/>
    <x v="2"/>
    <d v="2024-06-05T00:00:00"/>
    <x v="0"/>
    <n v="10"/>
    <x v="0"/>
    <x v="1"/>
    <x v="1"/>
    <x v="0"/>
    <n v="20"/>
    <n v="5"/>
    <x v="13"/>
  </r>
  <r>
    <n v="3332"/>
    <x v="101"/>
    <x v="1"/>
    <d v="2024-06-06T00:00:00"/>
    <x v="1"/>
    <n v="5"/>
    <x v="1"/>
    <x v="1"/>
    <x v="1"/>
    <x v="1"/>
    <n v="0"/>
    <n v="0"/>
    <x v="1"/>
  </r>
  <r>
    <n v="3333"/>
    <x v="102"/>
    <x v="0"/>
    <d v="2024-06-07T00:00:00"/>
    <x v="0"/>
    <n v="15"/>
    <x v="2"/>
    <x v="0"/>
    <x v="0"/>
    <x v="0"/>
    <n v="20"/>
    <n v="20"/>
    <x v="8"/>
  </r>
  <r>
    <n v="3334"/>
    <x v="103"/>
    <x v="2"/>
    <d v="2024-06-08T00:00:00"/>
    <x v="1"/>
    <n v="10"/>
    <x v="2"/>
    <x v="1"/>
    <x v="1"/>
    <x v="0"/>
    <n v="20"/>
    <n v="12"/>
    <x v="10"/>
  </r>
  <r>
    <n v="3335"/>
    <x v="104"/>
    <x v="1"/>
    <d v="2024-06-09T00:00:00"/>
    <x v="0"/>
    <n v="5"/>
    <x v="0"/>
    <x v="1"/>
    <x v="1"/>
    <x v="1"/>
    <n v="0"/>
    <n v="2"/>
    <x v="11"/>
  </r>
  <r>
    <n v="3336"/>
    <x v="105"/>
    <x v="1"/>
    <d v="2024-06-10T00:00:00"/>
    <x v="0"/>
    <n v="5"/>
    <x v="0"/>
    <x v="1"/>
    <x v="1"/>
    <x v="1"/>
    <n v="0"/>
    <n v="0"/>
    <x v="1"/>
  </r>
  <r>
    <n v="3337"/>
    <x v="106"/>
    <x v="0"/>
    <d v="2024-06-11T00:00:00"/>
    <x v="1"/>
    <n v="15"/>
    <x v="2"/>
    <x v="0"/>
    <x v="0"/>
    <x v="0"/>
    <n v="20"/>
    <n v="7"/>
    <x v="12"/>
  </r>
  <r>
    <n v="3338"/>
    <x v="107"/>
    <x v="2"/>
    <d v="2024-06-12T00:00:00"/>
    <x v="0"/>
    <n v="10"/>
    <x v="1"/>
    <x v="1"/>
    <x v="1"/>
    <x v="0"/>
    <n v="20"/>
    <n v="10"/>
    <x v="2"/>
  </r>
  <r>
    <n v="3339"/>
    <x v="108"/>
    <x v="1"/>
    <d v="2024-06-13T00:00:00"/>
    <x v="1"/>
    <n v="5"/>
    <x v="2"/>
    <x v="1"/>
    <x v="1"/>
    <x v="1"/>
    <n v="0"/>
    <n v="1"/>
    <x v="4"/>
  </r>
  <r>
    <n v="3340"/>
    <x v="109"/>
    <x v="0"/>
    <d v="2024-06-14T00:00:00"/>
    <x v="0"/>
    <n v="15"/>
    <x v="0"/>
    <x v="0"/>
    <x v="0"/>
    <x v="0"/>
    <n v="20"/>
    <n v="15"/>
    <x v="14"/>
  </r>
  <r>
    <n v="3341"/>
    <x v="110"/>
    <x v="2"/>
    <d v="2024-06-15T00:00:00"/>
    <x v="1"/>
    <n v="10"/>
    <x v="0"/>
    <x v="1"/>
    <x v="1"/>
    <x v="0"/>
    <n v="20"/>
    <n v="5"/>
    <x v="13"/>
  </r>
  <r>
    <n v="3342"/>
    <x v="111"/>
    <x v="1"/>
    <d v="2024-06-16T00:00:00"/>
    <x v="0"/>
    <n v="5"/>
    <x v="1"/>
    <x v="1"/>
    <x v="1"/>
    <x v="1"/>
    <n v="0"/>
    <n v="0"/>
    <x v="1"/>
  </r>
  <r>
    <n v="3343"/>
    <x v="112"/>
    <x v="0"/>
    <d v="2024-06-17T00:00:00"/>
    <x v="1"/>
    <n v="15"/>
    <x v="2"/>
    <x v="0"/>
    <x v="0"/>
    <x v="0"/>
    <n v="20"/>
    <n v="20"/>
    <x v="8"/>
  </r>
  <r>
    <n v="3344"/>
    <x v="113"/>
    <x v="2"/>
    <d v="2024-06-18T00:00:00"/>
    <x v="0"/>
    <n v="10"/>
    <x v="2"/>
    <x v="1"/>
    <x v="1"/>
    <x v="0"/>
    <n v="20"/>
    <n v="12"/>
    <x v="10"/>
  </r>
  <r>
    <n v="3345"/>
    <x v="114"/>
    <x v="1"/>
    <d v="2024-06-19T00:00:00"/>
    <x v="1"/>
    <n v="5"/>
    <x v="0"/>
    <x v="1"/>
    <x v="1"/>
    <x v="1"/>
    <n v="0"/>
    <n v="2"/>
    <x v="11"/>
  </r>
  <r>
    <n v="3346"/>
    <x v="115"/>
    <x v="0"/>
    <d v="2024-06-20T00:00:00"/>
    <x v="0"/>
    <n v="15"/>
    <x v="1"/>
    <x v="0"/>
    <x v="0"/>
    <x v="0"/>
    <n v="20"/>
    <n v="5"/>
    <x v="0"/>
  </r>
  <r>
    <n v="3347"/>
    <x v="116"/>
    <x v="2"/>
    <d v="2024-06-21T00:00:00"/>
    <x v="1"/>
    <n v="10"/>
    <x v="0"/>
    <x v="1"/>
    <x v="1"/>
    <x v="0"/>
    <n v="20"/>
    <n v="10"/>
    <x v="2"/>
  </r>
  <r>
    <n v="3348"/>
    <x v="117"/>
    <x v="1"/>
    <d v="2024-06-22T00:00:00"/>
    <x v="0"/>
    <n v="5"/>
    <x v="2"/>
    <x v="1"/>
    <x v="1"/>
    <x v="1"/>
    <n v="0"/>
    <n v="0"/>
    <x v="1"/>
  </r>
  <r>
    <n v="3349"/>
    <x v="93"/>
    <x v="0"/>
    <d v="2024-06-23T00:00:00"/>
    <x v="1"/>
    <n v="15"/>
    <x v="0"/>
    <x v="0"/>
    <x v="0"/>
    <x v="0"/>
    <n v="20"/>
    <n v="3"/>
    <x v="3"/>
  </r>
  <r>
    <n v="3350"/>
    <x v="118"/>
    <x v="2"/>
    <d v="2024-06-24T00:00:00"/>
    <x v="0"/>
    <n v="10"/>
    <x v="1"/>
    <x v="1"/>
    <x v="1"/>
    <x v="0"/>
    <n v="20"/>
    <n v="15"/>
    <x v="7"/>
  </r>
  <r>
    <n v="3351"/>
    <x v="119"/>
    <x v="1"/>
    <d v="2024-06-25T00:00:00"/>
    <x v="1"/>
    <n v="5"/>
    <x v="0"/>
    <x v="1"/>
    <x v="1"/>
    <x v="1"/>
    <n v="0"/>
    <n v="1"/>
    <x v="4"/>
  </r>
  <r>
    <n v="3352"/>
    <x v="120"/>
    <x v="0"/>
    <d v="2024-06-26T00:00:00"/>
    <x v="0"/>
    <n v="15"/>
    <x v="2"/>
    <x v="0"/>
    <x v="0"/>
    <x v="0"/>
    <n v="20"/>
    <n v="7"/>
    <x v="12"/>
  </r>
  <r>
    <n v="3353"/>
    <x v="121"/>
    <x v="2"/>
    <d v="2024-06-27T00:00:00"/>
    <x v="1"/>
    <n v="10"/>
    <x v="0"/>
    <x v="1"/>
    <x v="1"/>
    <x v="0"/>
    <n v="20"/>
    <n v="10"/>
    <x v="2"/>
  </r>
  <r>
    <n v="3354"/>
    <x v="122"/>
    <x v="1"/>
    <d v="2024-06-28T00:00:00"/>
    <x v="0"/>
    <n v="5"/>
    <x v="1"/>
    <x v="1"/>
    <x v="1"/>
    <x v="1"/>
    <n v="0"/>
    <n v="0"/>
    <x v="1"/>
  </r>
  <r>
    <n v="3355"/>
    <x v="123"/>
    <x v="0"/>
    <d v="2024-06-29T00:00:00"/>
    <x v="1"/>
    <n v="15"/>
    <x v="0"/>
    <x v="0"/>
    <x v="0"/>
    <x v="0"/>
    <n v="20"/>
    <n v="20"/>
    <x v="8"/>
  </r>
  <r>
    <n v="3356"/>
    <x v="124"/>
    <x v="2"/>
    <d v="2024-06-30T00:00:00"/>
    <x v="0"/>
    <n v="10"/>
    <x v="2"/>
    <x v="1"/>
    <x v="1"/>
    <x v="0"/>
    <n v="20"/>
    <n v="15"/>
    <x v="7"/>
  </r>
  <r>
    <n v="3357"/>
    <x v="125"/>
    <x v="1"/>
    <d v="2024-07-01T00:00:00"/>
    <x v="1"/>
    <n v="5"/>
    <x v="0"/>
    <x v="1"/>
    <x v="1"/>
    <x v="1"/>
    <n v="0"/>
    <n v="1"/>
    <x v="4"/>
  </r>
  <r>
    <n v="3358"/>
    <x v="126"/>
    <x v="0"/>
    <d v="2024-07-02T00:00:00"/>
    <x v="0"/>
    <n v="15"/>
    <x v="1"/>
    <x v="0"/>
    <x v="0"/>
    <x v="0"/>
    <n v="20"/>
    <n v="3"/>
    <x v="3"/>
  </r>
  <r>
    <n v="3359"/>
    <x v="127"/>
    <x v="2"/>
    <d v="2024-07-03T00:00:00"/>
    <x v="1"/>
    <n v="10"/>
    <x v="0"/>
    <x v="1"/>
    <x v="1"/>
    <x v="0"/>
    <n v="20"/>
    <n v="10"/>
    <x v="2"/>
  </r>
  <r>
    <n v="3360"/>
    <x v="128"/>
    <x v="1"/>
    <d v="2024-07-04T00:00:00"/>
    <x v="0"/>
    <n v="5"/>
    <x v="2"/>
    <x v="1"/>
    <x v="1"/>
    <x v="1"/>
    <n v="0"/>
    <n v="0"/>
    <x v="1"/>
  </r>
  <r>
    <n v="3361"/>
    <x v="129"/>
    <x v="0"/>
    <d v="2024-07-05T00:00:00"/>
    <x v="1"/>
    <n v="15"/>
    <x v="0"/>
    <x v="0"/>
    <x v="0"/>
    <x v="0"/>
    <n v="20"/>
    <n v="15"/>
    <x v="14"/>
  </r>
  <r>
    <n v="3362"/>
    <x v="130"/>
    <x v="2"/>
    <d v="2024-07-06T00:00:00"/>
    <x v="0"/>
    <n v="10"/>
    <x v="1"/>
    <x v="1"/>
    <x v="1"/>
    <x v="0"/>
    <n v="20"/>
    <n v="15"/>
    <x v="7"/>
  </r>
  <r>
    <n v="3363"/>
    <x v="131"/>
    <x v="1"/>
    <d v="2024-07-07T00:00:00"/>
    <x v="1"/>
    <n v="5"/>
    <x v="0"/>
    <x v="1"/>
    <x v="1"/>
    <x v="1"/>
    <n v="0"/>
    <n v="1"/>
    <x v="4"/>
  </r>
  <r>
    <n v="3364"/>
    <x v="132"/>
    <x v="0"/>
    <d v="2024-07-08T00:00:00"/>
    <x v="0"/>
    <n v="15"/>
    <x v="2"/>
    <x v="0"/>
    <x v="0"/>
    <x v="0"/>
    <n v="20"/>
    <n v="7"/>
    <x v="12"/>
  </r>
  <r>
    <n v="3365"/>
    <x v="133"/>
    <x v="2"/>
    <d v="2024-07-09T00:00:00"/>
    <x v="1"/>
    <n v="10"/>
    <x v="0"/>
    <x v="1"/>
    <x v="1"/>
    <x v="0"/>
    <n v="20"/>
    <n v="10"/>
    <x v="2"/>
  </r>
  <r>
    <n v="3366"/>
    <x v="134"/>
    <x v="1"/>
    <d v="2024-07-10T00:00:00"/>
    <x v="0"/>
    <n v="5"/>
    <x v="0"/>
    <x v="1"/>
    <x v="1"/>
    <x v="1"/>
    <n v="0"/>
    <n v="0"/>
    <x v="1"/>
  </r>
  <r>
    <n v="3367"/>
    <x v="135"/>
    <x v="0"/>
    <d v="2024-07-11T00:00:00"/>
    <x v="1"/>
    <n v="15"/>
    <x v="2"/>
    <x v="0"/>
    <x v="0"/>
    <x v="0"/>
    <n v="20"/>
    <n v="7"/>
    <x v="12"/>
  </r>
  <r>
    <n v="3368"/>
    <x v="136"/>
    <x v="2"/>
    <d v="2024-07-12T00:00:00"/>
    <x v="0"/>
    <n v="10"/>
    <x v="1"/>
    <x v="1"/>
    <x v="1"/>
    <x v="0"/>
    <n v="20"/>
    <n v="10"/>
    <x v="2"/>
  </r>
  <r>
    <n v="3369"/>
    <x v="137"/>
    <x v="1"/>
    <d v="2024-07-13T00:00:00"/>
    <x v="1"/>
    <n v="5"/>
    <x v="2"/>
    <x v="1"/>
    <x v="1"/>
    <x v="1"/>
    <n v="0"/>
    <n v="1"/>
    <x v="4"/>
  </r>
  <r>
    <n v="3370"/>
    <x v="138"/>
    <x v="0"/>
    <d v="2024-07-14T00:00:00"/>
    <x v="0"/>
    <n v="15"/>
    <x v="0"/>
    <x v="0"/>
    <x v="0"/>
    <x v="0"/>
    <n v="20"/>
    <n v="15"/>
    <x v="14"/>
  </r>
  <r>
    <n v="3371"/>
    <x v="139"/>
    <x v="2"/>
    <d v="2024-07-15T00:00:00"/>
    <x v="1"/>
    <n v="10"/>
    <x v="0"/>
    <x v="1"/>
    <x v="1"/>
    <x v="0"/>
    <n v="20"/>
    <n v="5"/>
    <x v="13"/>
  </r>
  <r>
    <n v="3372"/>
    <x v="140"/>
    <x v="1"/>
    <d v="2024-07-16T00:00:00"/>
    <x v="0"/>
    <n v="5"/>
    <x v="1"/>
    <x v="1"/>
    <x v="1"/>
    <x v="1"/>
    <n v="0"/>
    <n v="0"/>
    <x v="1"/>
  </r>
  <r>
    <n v="3373"/>
    <x v="141"/>
    <x v="0"/>
    <d v="2024-07-17T00:00:00"/>
    <x v="1"/>
    <n v="15"/>
    <x v="2"/>
    <x v="0"/>
    <x v="0"/>
    <x v="0"/>
    <n v="20"/>
    <n v="20"/>
    <x v="8"/>
  </r>
  <r>
    <n v="3374"/>
    <x v="142"/>
    <x v="2"/>
    <d v="2024-07-18T00:00:00"/>
    <x v="0"/>
    <n v="10"/>
    <x v="2"/>
    <x v="1"/>
    <x v="1"/>
    <x v="0"/>
    <n v="20"/>
    <n v="12"/>
    <x v="10"/>
  </r>
  <r>
    <n v="3375"/>
    <x v="143"/>
    <x v="1"/>
    <d v="2024-07-19T00:00:00"/>
    <x v="1"/>
    <n v="5"/>
    <x v="0"/>
    <x v="1"/>
    <x v="1"/>
    <x v="1"/>
    <n v="0"/>
    <n v="2"/>
    <x v="11"/>
  </r>
  <r>
    <n v="3376"/>
    <x v="144"/>
    <x v="0"/>
    <d v="2024-07-20T00:00:00"/>
    <x v="0"/>
    <n v="15"/>
    <x v="1"/>
    <x v="0"/>
    <x v="0"/>
    <x v="0"/>
    <n v="20"/>
    <n v="5"/>
    <x v="0"/>
  </r>
  <r>
    <n v="3377"/>
    <x v="145"/>
    <x v="2"/>
    <d v="2024-07-21T00:00:00"/>
    <x v="1"/>
    <n v="10"/>
    <x v="0"/>
    <x v="1"/>
    <x v="1"/>
    <x v="0"/>
    <n v="20"/>
    <n v="10"/>
    <x v="2"/>
  </r>
  <r>
    <n v="3378"/>
    <x v="146"/>
    <x v="1"/>
    <d v="2024-07-22T00:00:00"/>
    <x v="0"/>
    <n v="5"/>
    <x v="2"/>
    <x v="1"/>
    <x v="1"/>
    <x v="1"/>
    <n v="0"/>
    <n v="0"/>
    <x v="1"/>
  </r>
  <r>
    <n v="3379"/>
    <x v="147"/>
    <x v="0"/>
    <d v="2024-07-23T00:00:00"/>
    <x v="1"/>
    <n v="15"/>
    <x v="0"/>
    <x v="0"/>
    <x v="0"/>
    <x v="0"/>
    <n v="20"/>
    <n v="3"/>
    <x v="3"/>
  </r>
  <r>
    <n v="3380"/>
    <x v="148"/>
    <x v="2"/>
    <d v="2024-07-24T00:00:00"/>
    <x v="0"/>
    <n v="10"/>
    <x v="1"/>
    <x v="1"/>
    <x v="1"/>
    <x v="0"/>
    <n v="20"/>
    <n v="15"/>
    <x v="7"/>
  </r>
  <r>
    <n v="3381"/>
    <x v="149"/>
    <x v="1"/>
    <d v="2024-07-25T00:00:00"/>
    <x v="1"/>
    <n v="5"/>
    <x v="0"/>
    <x v="1"/>
    <x v="1"/>
    <x v="1"/>
    <n v="0"/>
    <n v="1"/>
    <x v="4"/>
  </r>
  <r>
    <n v="3382"/>
    <x v="150"/>
    <x v="0"/>
    <d v="2024-07-26T00:00:00"/>
    <x v="0"/>
    <n v="15"/>
    <x v="2"/>
    <x v="0"/>
    <x v="0"/>
    <x v="0"/>
    <n v="20"/>
    <n v="7"/>
    <x v="12"/>
  </r>
  <r>
    <n v="3383"/>
    <x v="151"/>
    <x v="2"/>
    <d v="2024-07-27T00:00:00"/>
    <x v="1"/>
    <n v="10"/>
    <x v="0"/>
    <x v="1"/>
    <x v="1"/>
    <x v="0"/>
    <n v="20"/>
    <n v="10"/>
    <x v="2"/>
  </r>
  <r>
    <n v="3384"/>
    <x v="152"/>
    <x v="1"/>
    <d v="2024-07-28T00:00:00"/>
    <x v="0"/>
    <n v="5"/>
    <x v="1"/>
    <x v="1"/>
    <x v="1"/>
    <x v="1"/>
    <n v="0"/>
    <n v="0"/>
    <x v="1"/>
  </r>
  <r>
    <n v="3385"/>
    <x v="153"/>
    <x v="0"/>
    <d v="2024-07-29T00:00:00"/>
    <x v="1"/>
    <n v="15"/>
    <x v="0"/>
    <x v="0"/>
    <x v="0"/>
    <x v="0"/>
    <n v="20"/>
    <n v="20"/>
    <x v="8"/>
  </r>
  <r>
    <n v="3386"/>
    <x v="154"/>
    <x v="2"/>
    <d v="2024-07-30T00:00:00"/>
    <x v="0"/>
    <n v="10"/>
    <x v="2"/>
    <x v="1"/>
    <x v="1"/>
    <x v="0"/>
    <n v="20"/>
    <n v="15"/>
    <x v="7"/>
  </r>
  <r>
    <n v="3387"/>
    <x v="155"/>
    <x v="1"/>
    <d v="2024-07-31T00:00:00"/>
    <x v="1"/>
    <n v="5"/>
    <x v="0"/>
    <x v="1"/>
    <x v="1"/>
    <x v="1"/>
    <n v="0"/>
    <n v="1"/>
    <x v="4"/>
  </r>
  <r>
    <n v="3388"/>
    <x v="156"/>
    <x v="0"/>
    <d v="2024-08-01T00:00:00"/>
    <x v="0"/>
    <n v="15"/>
    <x v="1"/>
    <x v="0"/>
    <x v="0"/>
    <x v="0"/>
    <n v="20"/>
    <n v="3"/>
    <x v="3"/>
  </r>
  <r>
    <n v="3389"/>
    <x v="157"/>
    <x v="2"/>
    <d v="2024-08-02T00:00:00"/>
    <x v="1"/>
    <n v="10"/>
    <x v="0"/>
    <x v="1"/>
    <x v="1"/>
    <x v="0"/>
    <n v="20"/>
    <n v="10"/>
    <x v="2"/>
  </r>
  <r>
    <n v="3390"/>
    <x v="158"/>
    <x v="1"/>
    <d v="2024-08-03T00:00:00"/>
    <x v="0"/>
    <n v="5"/>
    <x v="2"/>
    <x v="1"/>
    <x v="1"/>
    <x v="1"/>
    <n v="0"/>
    <n v="0"/>
    <x v="1"/>
  </r>
  <r>
    <n v="3391"/>
    <x v="58"/>
    <x v="0"/>
    <d v="2024-08-04T00:00:00"/>
    <x v="1"/>
    <n v="15"/>
    <x v="0"/>
    <x v="0"/>
    <x v="0"/>
    <x v="0"/>
    <n v="20"/>
    <n v="15"/>
    <x v="14"/>
  </r>
  <r>
    <n v="3392"/>
    <x v="159"/>
    <x v="2"/>
    <d v="2024-08-05T00:00:00"/>
    <x v="0"/>
    <n v="10"/>
    <x v="1"/>
    <x v="1"/>
    <x v="1"/>
    <x v="0"/>
    <n v="20"/>
    <n v="15"/>
    <x v="7"/>
  </r>
  <r>
    <n v="3393"/>
    <x v="160"/>
    <x v="1"/>
    <d v="2024-08-06T00:00:00"/>
    <x v="1"/>
    <n v="5"/>
    <x v="0"/>
    <x v="1"/>
    <x v="1"/>
    <x v="1"/>
    <n v="0"/>
    <n v="1"/>
    <x v="4"/>
  </r>
  <r>
    <n v="3394"/>
    <x v="161"/>
    <x v="0"/>
    <d v="2024-08-07T00:00:00"/>
    <x v="0"/>
    <n v="15"/>
    <x v="2"/>
    <x v="0"/>
    <x v="0"/>
    <x v="0"/>
    <n v="20"/>
    <n v="7"/>
    <x v="12"/>
  </r>
  <r>
    <n v="3395"/>
    <x v="162"/>
    <x v="2"/>
    <d v="2024-08-08T00:00:00"/>
    <x v="1"/>
    <n v="10"/>
    <x v="0"/>
    <x v="1"/>
    <x v="1"/>
    <x v="0"/>
    <n v="20"/>
    <n v="10"/>
    <x v="2"/>
  </r>
  <r>
    <n v="3396"/>
    <x v="163"/>
    <x v="1"/>
    <d v="2024-08-09T00:00:00"/>
    <x v="0"/>
    <n v="5"/>
    <x v="1"/>
    <x v="1"/>
    <x v="1"/>
    <x v="1"/>
    <n v="0"/>
    <n v="0"/>
    <x v="1"/>
  </r>
  <r>
    <n v="3397"/>
    <x v="90"/>
    <x v="0"/>
    <d v="2024-08-10T00:00:00"/>
    <x v="1"/>
    <n v="15"/>
    <x v="0"/>
    <x v="0"/>
    <x v="0"/>
    <x v="0"/>
    <n v="20"/>
    <n v="20"/>
    <x v="8"/>
  </r>
  <r>
    <n v="3398"/>
    <x v="164"/>
    <x v="2"/>
    <d v="2024-08-11T00:00:00"/>
    <x v="0"/>
    <n v="10"/>
    <x v="2"/>
    <x v="1"/>
    <x v="1"/>
    <x v="0"/>
    <n v="20"/>
    <n v="15"/>
    <x v="7"/>
  </r>
  <r>
    <n v="3399"/>
    <x v="165"/>
    <x v="1"/>
    <d v="2024-08-12T00:00:00"/>
    <x v="1"/>
    <n v="5"/>
    <x v="0"/>
    <x v="1"/>
    <x v="1"/>
    <x v="1"/>
    <n v="0"/>
    <n v="1"/>
    <x v="4"/>
  </r>
  <r>
    <n v="3400"/>
    <x v="166"/>
    <x v="0"/>
    <d v="2024-08-13T00:00:00"/>
    <x v="0"/>
    <n v="15"/>
    <x v="1"/>
    <x v="0"/>
    <x v="0"/>
    <x v="0"/>
    <n v="20"/>
    <n v="5"/>
    <x v="0"/>
  </r>
  <r>
    <n v="3401"/>
    <x v="167"/>
    <x v="2"/>
    <d v="2024-08-14T00:00:00"/>
    <x v="1"/>
    <n v="10"/>
    <x v="0"/>
    <x v="1"/>
    <x v="1"/>
    <x v="0"/>
    <n v="20"/>
    <n v="10"/>
    <x v="2"/>
  </r>
  <r>
    <n v="3402"/>
    <x v="168"/>
    <x v="1"/>
    <d v="2024-08-15T00:00:00"/>
    <x v="0"/>
    <n v="5"/>
    <x v="2"/>
    <x v="1"/>
    <x v="1"/>
    <x v="1"/>
    <n v="0"/>
    <n v="0"/>
    <x v="1"/>
  </r>
  <r>
    <n v="3403"/>
    <x v="169"/>
    <x v="0"/>
    <d v="2024-08-16T00:00:00"/>
    <x v="1"/>
    <n v="15"/>
    <x v="0"/>
    <x v="0"/>
    <x v="0"/>
    <x v="0"/>
    <n v="20"/>
    <n v="3"/>
    <x v="3"/>
  </r>
  <r>
    <n v="3404"/>
    <x v="170"/>
    <x v="2"/>
    <d v="2024-08-17T00:00:00"/>
    <x v="0"/>
    <n v="10"/>
    <x v="1"/>
    <x v="1"/>
    <x v="1"/>
    <x v="0"/>
    <n v="20"/>
    <n v="15"/>
    <x v="7"/>
  </r>
  <r>
    <n v="3405"/>
    <x v="171"/>
    <x v="1"/>
    <d v="2024-08-18T00:00:00"/>
    <x v="1"/>
    <n v="5"/>
    <x v="0"/>
    <x v="1"/>
    <x v="1"/>
    <x v="1"/>
    <n v="0"/>
    <n v="1"/>
    <x v="4"/>
  </r>
  <r>
    <n v="3406"/>
    <x v="172"/>
    <x v="1"/>
    <d v="2024-08-19T00:00:00"/>
    <x v="0"/>
    <n v="5"/>
    <x v="0"/>
    <x v="1"/>
    <x v="1"/>
    <x v="1"/>
    <n v="0"/>
    <n v="0"/>
    <x v="1"/>
  </r>
  <r>
    <n v="3407"/>
    <x v="173"/>
    <x v="0"/>
    <d v="2024-08-20T00:00:00"/>
    <x v="1"/>
    <n v="15"/>
    <x v="2"/>
    <x v="0"/>
    <x v="0"/>
    <x v="0"/>
    <n v="20"/>
    <n v="7"/>
    <x v="12"/>
  </r>
  <r>
    <n v="3408"/>
    <x v="174"/>
    <x v="2"/>
    <d v="2024-08-21T00:00:00"/>
    <x v="0"/>
    <n v="10"/>
    <x v="1"/>
    <x v="1"/>
    <x v="1"/>
    <x v="0"/>
    <n v="20"/>
    <n v="10"/>
    <x v="2"/>
  </r>
  <r>
    <n v="3409"/>
    <x v="175"/>
    <x v="1"/>
    <d v="2024-08-22T00:00:00"/>
    <x v="1"/>
    <n v="5"/>
    <x v="2"/>
    <x v="1"/>
    <x v="1"/>
    <x v="1"/>
    <n v="0"/>
    <n v="1"/>
    <x v="4"/>
  </r>
  <r>
    <n v="3410"/>
    <x v="176"/>
    <x v="0"/>
    <d v="2024-08-23T00:00:00"/>
    <x v="0"/>
    <n v="15"/>
    <x v="0"/>
    <x v="0"/>
    <x v="0"/>
    <x v="0"/>
    <n v="20"/>
    <n v="15"/>
    <x v="14"/>
  </r>
  <r>
    <n v="3411"/>
    <x v="177"/>
    <x v="2"/>
    <d v="2024-08-24T00:00:00"/>
    <x v="1"/>
    <n v="10"/>
    <x v="0"/>
    <x v="1"/>
    <x v="1"/>
    <x v="0"/>
    <n v="20"/>
    <n v="5"/>
    <x v="13"/>
  </r>
  <r>
    <n v="3412"/>
    <x v="178"/>
    <x v="1"/>
    <d v="2024-08-25T00:00:00"/>
    <x v="0"/>
    <n v="5"/>
    <x v="1"/>
    <x v="1"/>
    <x v="1"/>
    <x v="1"/>
    <n v="0"/>
    <n v="0"/>
    <x v="1"/>
  </r>
  <r>
    <n v="3413"/>
    <x v="179"/>
    <x v="0"/>
    <d v="2024-08-26T00:00:00"/>
    <x v="1"/>
    <n v="15"/>
    <x v="2"/>
    <x v="0"/>
    <x v="0"/>
    <x v="0"/>
    <n v="20"/>
    <n v="20"/>
    <x v="8"/>
  </r>
  <r>
    <n v="3414"/>
    <x v="180"/>
    <x v="2"/>
    <d v="2024-08-27T00:00:00"/>
    <x v="0"/>
    <n v="10"/>
    <x v="2"/>
    <x v="1"/>
    <x v="1"/>
    <x v="0"/>
    <n v="20"/>
    <n v="12"/>
    <x v="10"/>
  </r>
  <r>
    <n v="3415"/>
    <x v="181"/>
    <x v="1"/>
    <d v="2024-08-28T00:00:00"/>
    <x v="1"/>
    <n v="5"/>
    <x v="0"/>
    <x v="1"/>
    <x v="1"/>
    <x v="1"/>
    <n v="0"/>
    <n v="2"/>
    <x v="11"/>
  </r>
  <r>
    <n v="3416"/>
    <x v="182"/>
    <x v="0"/>
    <d v="2024-08-29T00:00:00"/>
    <x v="0"/>
    <n v="15"/>
    <x v="1"/>
    <x v="0"/>
    <x v="0"/>
    <x v="0"/>
    <n v="20"/>
    <n v="5"/>
    <x v="0"/>
  </r>
  <r>
    <n v="3417"/>
    <x v="183"/>
    <x v="2"/>
    <d v="2024-08-30T00:00:00"/>
    <x v="1"/>
    <n v="10"/>
    <x v="0"/>
    <x v="1"/>
    <x v="1"/>
    <x v="0"/>
    <n v="20"/>
    <n v="10"/>
    <x v="2"/>
  </r>
  <r>
    <n v="3418"/>
    <x v="184"/>
    <x v="1"/>
    <d v="2024-08-31T00:00:00"/>
    <x v="0"/>
    <n v="5"/>
    <x v="2"/>
    <x v="1"/>
    <x v="1"/>
    <x v="1"/>
    <n v="0"/>
    <n v="0"/>
    <x v="1"/>
  </r>
  <r>
    <n v="3419"/>
    <x v="185"/>
    <x v="0"/>
    <d v="2024-09-01T00:00:00"/>
    <x v="1"/>
    <n v="15"/>
    <x v="0"/>
    <x v="0"/>
    <x v="0"/>
    <x v="0"/>
    <n v="20"/>
    <n v="3"/>
    <x v="3"/>
  </r>
  <r>
    <n v="3420"/>
    <x v="186"/>
    <x v="2"/>
    <d v="2024-09-02T00:00:00"/>
    <x v="0"/>
    <n v="10"/>
    <x v="1"/>
    <x v="1"/>
    <x v="1"/>
    <x v="0"/>
    <n v="20"/>
    <n v="15"/>
    <x v="7"/>
  </r>
  <r>
    <n v="3421"/>
    <x v="15"/>
    <x v="1"/>
    <d v="2024-09-03T00:00:00"/>
    <x v="1"/>
    <n v="5"/>
    <x v="0"/>
    <x v="1"/>
    <x v="1"/>
    <x v="1"/>
    <n v="0"/>
    <n v="1"/>
    <x v="4"/>
  </r>
  <r>
    <n v="3422"/>
    <x v="187"/>
    <x v="0"/>
    <d v="2024-09-04T00:00:00"/>
    <x v="0"/>
    <n v="15"/>
    <x v="2"/>
    <x v="0"/>
    <x v="0"/>
    <x v="0"/>
    <n v="20"/>
    <n v="7"/>
    <x v="12"/>
  </r>
  <r>
    <n v="3423"/>
    <x v="188"/>
    <x v="2"/>
    <d v="2024-09-05T00:00:00"/>
    <x v="1"/>
    <n v="10"/>
    <x v="0"/>
    <x v="1"/>
    <x v="1"/>
    <x v="0"/>
    <n v="20"/>
    <n v="10"/>
    <x v="2"/>
  </r>
  <r>
    <n v="3424"/>
    <x v="14"/>
    <x v="1"/>
    <d v="2024-09-06T00:00:00"/>
    <x v="0"/>
    <n v="5"/>
    <x v="1"/>
    <x v="1"/>
    <x v="1"/>
    <x v="1"/>
    <n v="0"/>
    <n v="0"/>
    <x v="1"/>
  </r>
  <r>
    <n v="3425"/>
    <x v="189"/>
    <x v="0"/>
    <d v="2024-09-07T00:00:00"/>
    <x v="1"/>
    <n v="15"/>
    <x v="0"/>
    <x v="0"/>
    <x v="0"/>
    <x v="0"/>
    <n v="20"/>
    <n v="20"/>
    <x v="8"/>
  </r>
  <r>
    <n v="3426"/>
    <x v="167"/>
    <x v="2"/>
    <d v="2024-09-08T00:00:00"/>
    <x v="0"/>
    <n v="10"/>
    <x v="2"/>
    <x v="1"/>
    <x v="1"/>
    <x v="0"/>
    <n v="20"/>
    <n v="15"/>
    <x v="7"/>
  </r>
  <r>
    <n v="3427"/>
    <x v="190"/>
    <x v="1"/>
    <d v="2024-09-09T00:00:00"/>
    <x v="1"/>
    <n v="5"/>
    <x v="0"/>
    <x v="1"/>
    <x v="1"/>
    <x v="1"/>
    <n v="0"/>
    <n v="1"/>
    <x v="4"/>
  </r>
  <r>
    <n v="3428"/>
    <x v="191"/>
    <x v="0"/>
    <d v="2024-09-10T00:00:00"/>
    <x v="0"/>
    <n v="15"/>
    <x v="1"/>
    <x v="0"/>
    <x v="0"/>
    <x v="0"/>
    <n v="20"/>
    <n v="3"/>
    <x v="3"/>
  </r>
  <r>
    <n v="3429"/>
    <x v="192"/>
    <x v="2"/>
    <d v="2024-09-11T00:00:00"/>
    <x v="1"/>
    <n v="10"/>
    <x v="0"/>
    <x v="1"/>
    <x v="1"/>
    <x v="0"/>
    <n v="20"/>
    <n v="10"/>
    <x v="2"/>
  </r>
  <r>
    <n v="3430"/>
    <x v="193"/>
    <x v="1"/>
    <d v="2024-09-12T00:00:00"/>
    <x v="0"/>
    <n v="5"/>
    <x v="2"/>
    <x v="1"/>
    <x v="1"/>
    <x v="1"/>
    <n v="0"/>
    <n v="0"/>
    <x v="1"/>
  </r>
  <r>
    <n v="3431"/>
    <x v="194"/>
    <x v="0"/>
    <d v="2024-09-13T00:00:00"/>
    <x v="1"/>
    <n v="15"/>
    <x v="0"/>
    <x v="0"/>
    <x v="0"/>
    <x v="0"/>
    <n v="20"/>
    <n v="15"/>
    <x v="14"/>
  </r>
  <r>
    <n v="3432"/>
    <x v="195"/>
    <x v="2"/>
    <d v="2024-09-14T00:00:00"/>
    <x v="0"/>
    <n v="10"/>
    <x v="1"/>
    <x v="1"/>
    <x v="1"/>
    <x v="0"/>
    <n v="20"/>
    <n v="15"/>
    <x v="7"/>
  </r>
  <r>
    <n v="3433"/>
    <x v="196"/>
    <x v="1"/>
    <d v="2024-09-15T00:00:00"/>
    <x v="1"/>
    <n v="5"/>
    <x v="0"/>
    <x v="1"/>
    <x v="1"/>
    <x v="1"/>
    <n v="0"/>
    <n v="1"/>
    <x v="4"/>
  </r>
  <r>
    <n v="3434"/>
    <x v="197"/>
    <x v="0"/>
    <d v="2024-09-16T00:00:00"/>
    <x v="0"/>
    <n v="15"/>
    <x v="2"/>
    <x v="0"/>
    <x v="0"/>
    <x v="0"/>
    <n v="20"/>
    <n v="7"/>
    <x v="12"/>
  </r>
  <r>
    <n v="3435"/>
    <x v="198"/>
    <x v="2"/>
    <d v="2024-09-17T00:00:00"/>
    <x v="1"/>
    <n v="10"/>
    <x v="0"/>
    <x v="1"/>
    <x v="1"/>
    <x v="0"/>
    <n v="20"/>
    <n v="10"/>
    <x v="2"/>
  </r>
  <r>
    <n v="3436"/>
    <x v="199"/>
    <x v="1"/>
    <d v="2024-09-18T00:00:00"/>
    <x v="0"/>
    <n v="5"/>
    <x v="0"/>
    <x v="1"/>
    <x v="1"/>
    <x v="1"/>
    <n v="0"/>
    <n v="0"/>
    <x v="1"/>
  </r>
  <r>
    <n v="3437"/>
    <x v="200"/>
    <x v="0"/>
    <d v="2024-09-19T00:00:00"/>
    <x v="1"/>
    <n v="15"/>
    <x v="2"/>
    <x v="0"/>
    <x v="0"/>
    <x v="0"/>
    <n v="20"/>
    <n v="7"/>
    <x v="12"/>
  </r>
  <r>
    <n v="3438"/>
    <x v="201"/>
    <x v="2"/>
    <d v="2024-09-20T00:00:00"/>
    <x v="0"/>
    <n v="10"/>
    <x v="1"/>
    <x v="1"/>
    <x v="1"/>
    <x v="0"/>
    <n v="20"/>
    <n v="10"/>
    <x v="2"/>
  </r>
  <r>
    <n v="3439"/>
    <x v="202"/>
    <x v="1"/>
    <d v="2024-09-21T00:00:00"/>
    <x v="1"/>
    <n v="5"/>
    <x v="2"/>
    <x v="1"/>
    <x v="1"/>
    <x v="1"/>
    <n v="0"/>
    <n v="1"/>
    <x v="4"/>
  </r>
  <r>
    <n v="3440"/>
    <x v="203"/>
    <x v="0"/>
    <d v="2024-09-22T00:00:00"/>
    <x v="0"/>
    <n v="15"/>
    <x v="0"/>
    <x v="0"/>
    <x v="0"/>
    <x v="0"/>
    <n v="20"/>
    <n v="15"/>
    <x v="14"/>
  </r>
  <r>
    <n v="3441"/>
    <x v="204"/>
    <x v="2"/>
    <d v="2024-09-23T00:00:00"/>
    <x v="1"/>
    <n v="10"/>
    <x v="0"/>
    <x v="1"/>
    <x v="1"/>
    <x v="0"/>
    <n v="20"/>
    <n v="5"/>
    <x v="13"/>
  </r>
  <r>
    <n v="3442"/>
    <x v="205"/>
    <x v="1"/>
    <d v="2024-09-24T00:00:00"/>
    <x v="0"/>
    <n v="5"/>
    <x v="1"/>
    <x v="1"/>
    <x v="1"/>
    <x v="1"/>
    <n v="0"/>
    <n v="0"/>
    <x v="1"/>
  </r>
  <r>
    <n v="3443"/>
    <x v="206"/>
    <x v="0"/>
    <d v="2024-09-25T00:00:00"/>
    <x v="1"/>
    <n v="15"/>
    <x v="2"/>
    <x v="0"/>
    <x v="0"/>
    <x v="0"/>
    <n v="20"/>
    <n v="20"/>
    <x v="8"/>
  </r>
  <r>
    <n v="3444"/>
    <x v="207"/>
    <x v="2"/>
    <d v="2024-09-26T00:00:00"/>
    <x v="0"/>
    <n v="10"/>
    <x v="2"/>
    <x v="1"/>
    <x v="1"/>
    <x v="0"/>
    <n v="20"/>
    <n v="12"/>
    <x v="10"/>
  </r>
  <r>
    <n v="3445"/>
    <x v="37"/>
    <x v="1"/>
    <d v="2024-09-27T00:00:00"/>
    <x v="1"/>
    <n v="5"/>
    <x v="0"/>
    <x v="1"/>
    <x v="1"/>
    <x v="1"/>
    <n v="0"/>
    <n v="2"/>
    <x v="11"/>
  </r>
  <r>
    <n v="3446"/>
    <x v="208"/>
    <x v="0"/>
    <d v="2024-09-28T00:00:00"/>
    <x v="0"/>
    <n v="15"/>
    <x v="1"/>
    <x v="0"/>
    <x v="0"/>
    <x v="0"/>
    <n v="20"/>
    <n v="5"/>
    <x v="0"/>
  </r>
  <r>
    <n v="3447"/>
    <x v="209"/>
    <x v="2"/>
    <d v="2024-09-29T00:00:00"/>
    <x v="1"/>
    <n v="10"/>
    <x v="0"/>
    <x v="1"/>
    <x v="1"/>
    <x v="0"/>
    <n v="20"/>
    <n v="10"/>
    <x v="2"/>
  </r>
  <r>
    <n v="3448"/>
    <x v="210"/>
    <x v="1"/>
    <d v="2024-09-30T00:00:00"/>
    <x v="0"/>
    <n v="5"/>
    <x v="2"/>
    <x v="1"/>
    <x v="1"/>
    <x v="1"/>
    <n v="0"/>
    <n v="0"/>
    <x v="1"/>
  </r>
  <r>
    <n v="3449"/>
    <x v="211"/>
    <x v="0"/>
    <d v="2024-10-01T00:00:00"/>
    <x v="1"/>
    <n v="15"/>
    <x v="0"/>
    <x v="0"/>
    <x v="0"/>
    <x v="0"/>
    <n v="20"/>
    <n v="3"/>
    <x v="3"/>
  </r>
  <r>
    <n v="3450"/>
    <x v="212"/>
    <x v="2"/>
    <d v="2024-10-02T00:00:00"/>
    <x v="0"/>
    <n v="10"/>
    <x v="1"/>
    <x v="1"/>
    <x v="1"/>
    <x v="0"/>
    <n v="20"/>
    <n v="15"/>
    <x v="7"/>
  </r>
  <r>
    <n v="3451"/>
    <x v="213"/>
    <x v="1"/>
    <d v="2024-10-03T00:00:00"/>
    <x v="1"/>
    <n v="5"/>
    <x v="0"/>
    <x v="1"/>
    <x v="1"/>
    <x v="1"/>
    <n v="0"/>
    <n v="1"/>
    <x v="4"/>
  </r>
  <r>
    <n v="3452"/>
    <x v="191"/>
    <x v="0"/>
    <d v="2024-10-04T00:00:00"/>
    <x v="0"/>
    <n v="15"/>
    <x v="2"/>
    <x v="0"/>
    <x v="0"/>
    <x v="0"/>
    <n v="20"/>
    <n v="7"/>
    <x v="12"/>
  </r>
  <r>
    <n v="3453"/>
    <x v="45"/>
    <x v="2"/>
    <d v="2024-10-05T00:00:00"/>
    <x v="1"/>
    <n v="10"/>
    <x v="0"/>
    <x v="1"/>
    <x v="1"/>
    <x v="0"/>
    <n v="20"/>
    <n v="10"/>
    <x v="2"/>
  </r>
  <r>
    <n v="3454"/>
    <x v="214"/>
    <x v="1"/>
    <d v="2024-10-06T00:00:00"/>
    <x v="0"/>
    <n v="5"/>
    <x v="1"/>
    <x v="1"/>
    <x v="1"/>
    <x v="1"/>
    <n v="0"/>
    <n v="0"/>
    <x v="1"/>
  </r>
  <r>
    <n v="3455"/>
    <x v="215"/>
    <x v="0"/>
    <d v="2024-10-07T00:00:00"/>
    <x v="1"/>
    <n v="15"/>
    <x v="0"/>
    <x v="0"/>
    <x v="0"/>
    <x v="0"/>
    <n v="20"/>
    <n v="20"/>
    <x v="8"/>
  </r>
  <r>
    <n v="3456"/>
    <x v="216"/>
    <x v="2"/>
    <d v="2024-10-08T00:00:00"/>
    <x v="0"/>
    <n v="10"/>
    <x v="2"/>
    <x v="1"/>
    <x v="1"/>
    <x v="0"/>
    <n v="20"/>
    <n v="15"/>
    <x v="7"/>
  </r>
  <r>
    <n v="3457"/>
    <x v="217"/>
    <x v="1"/>
    <d v="2024-10-09T00:00:00"/>
    <x v="1"/>
    <n v="5"/>
    <x v="0"/>
    <x v="1"/>
    <x v="1"/>
    <x v="1"/>
    <n v="0"/>
    <n v="1"/>
    <x v="4"/>
  </r>
  <r>
    <n v="3458"/>
    <x v="218"/>
    <x v="0"/>
    <d v="2024-10-10T00:00:00"/>
    <x v="0"/>
    <n v="15"/>
    <x v="1"/>
    <x v="0"/>
    <x v="0"/>
    <x v="0"/>
    <n v="20"/>
    <n v="3"/>
    <x v="3"/>
  </r>
  <r>
    <n v="3459"/>
    <x v="219"/>
    <x v="2"/>
    <d v="2024-10-11T00:00:00"/>
    <x v="1"/>
    <n v="10"/>
    <x v="0"/>
    <x v="1"/>
    <x v="1"/>
    <x v="0"/>
    <n v="20"/>
    <n v="10"/>
    <x v="2"/>
  </r>
  <r>
    <n v="3460"/>
    <x v="127"/>
    <x v="1"/>
    <d v="2024-10-12T00:00:00"/>
    <x v="0"/>
    <n v="5"/>
    <x v="2"/>
    <x v="1"/>
    <x v="1"/>
    <x v="1"/>
    <n v="0"/>
    <n v="0"/>
    <x v="1"/>
  </r>
  <r>
    <n v="3461"/>
    <x v="220"/>
    <x v="0"/>
    <d v="2024-10-13T00:00:00"/>
    <x v="1"/>
    <n v="15"/>
    <x v="0"/>
    <x v="0"/>
    <x v="0"/>
    <x v="0"/>
    <n v="20"/>
    <n v="15"/>
    <x v="14"/>
  </r>
  <r>
    <n v="3462"/>
    <x v="221"/>
    <x v="2"/>
    <d v="2024-10-14T00:00:00"/>
    <x v="0"/>
    <n v="10"/>
    <x v="1"/>
    <x v="1"/>
    <x v="1"/>
    <x v="0"/>
    <n v="20"/>
    <n v="15"/>
    <x v="7"/>
  </r>
  <r>
    <n v="3463"/>
    <x v="222"/>
    <x v="1"/>
    <d v="2024-10-15T00:00:00"/>
    <x v="1"/>
    <n v="5"/>
    <x v="0"/>
    <x v="1"/>
    <x v="1"/>
    <x v="1"/>
    <n v="0"/>
    <n v="1"/>
    <x v="4"/>
  </r>
  <r>
    <n v="3464"/>
    <x v="223"/>
    <x v="0"/>
    <d v="2024-10-16T00:00:00"/>
    <x v="0"/>
    <n v="15"/>
    <x v="2"/>
    <x v="0"/>
    <x v="0"/>
    <x v="0"/>
    <n v="20"/>
    <n v="7"/>
    <x v="12"/>
  </r>
  <r>
    <n v="3465"/>
    <x v="224"/>
    <x v="2"/>
    <d v="2024-10-17T00:00:00"/>
    <x v="1"/>
    <n v="10"/>
    <x v="0"/>
    <x v="1"/>
    <x v="1"/>
    <x v="0"/>
    <n v="20"/>
    <n v="10"/>
    <x v="2"/>
  </r>
  <r>
    <n v="3466"/>
    <x v="225"/>
    <x v="1"/>
    <d v="2024-10-18T00:00:00"/>
    <x v="0"/>
    <n v="5"/>
    <x v="1"/>
    <x v="1"/>
    <x v="1"/>
    <x v="1"/>
    <n v="0"/>
    <n v="0"/>
    <x v="1"/>
  </r>
  <r>
    <n v="3467"/>
    <x v="226"/>
    <x v="0"/>
    <d v="2024-10-19T00:00:00"/>
    <x v="1"/>
    <n v="15"/>
    <x v="0"/>
    <x v="0"/>
    <x v="0"/>
    <x v="0"/>
    <n v="20"/>
    <n v="15"/>
    <x v="14"/>
  </r>
  <r>
    <n v="3468"/>
    <x v="227"/>
    <x v="2"/>
    <d v="2024-10-20T00:00:00"/>
    <x v="0"/>
    <n v="10"/>
    <x v="2"/>
    <x v="1"/>
    <x v="1"/>
    <x v="0"/>
    <n v="20"/>
    <n v="12"/>
    <x v="10"/>
  </r>
  <r>
    <n v="3469"/>
    <x v="228"/>
    <x v="1"/>
    <d v="2024-10-21T00:00:00"/>
    <x v="1"/>
    <n v="5"/>
    <x v="0"/>
    <x v="1"/>
    <x v="1"/>
    <x v="1"/>
    <n v="0"/>
    <n v="2"/>
    <x v="11"/>
  </r>
  <r>
    <n v="3470"/>
    <x v="229"/>
    <x v="0"/>
    <d v="2024-10-22T00:00:00"/>
    <x v="0"/>
    <n v="15"/>
    <x v="1"/>
    <x v="0"/>
    <x v="0"/>
    <x v="0"/>
    <n v="20"/>
    <n v="5"/>
    <x v="0"/>
  </r>
  <r>
    <n v="3471"/>
    <x v="230"/>
    <x v="2"/>
    <d v="2024-10-23T00:00:00"/>
    <x v="1"/>
    <n v="10"/>
    <x v="0"/>
    <x v="1"/>
    <x v="1"/>
    <x v="0"/>
    <n v="20"/>
    <n v="10"/>
    <x v="2"/>
  </r>
  <r>
    <n v="3472"/>
    <x v="231"/>
    <x v="1"/>
    <d v="2024-10-24T00:00:00"/>
    <x v="0"/>
    <n v="5"/>
    <x v="2"/>
    <x v="1"/>
    <x v="1"/>
    <x v="1"/>
    <n v="0"/>
    <n v="0"/>
    <x v="1"/>
  </r>
  <r>
    <n v="3473"/>
    <x v="140"/>
    <x v="0"/>
    <d v="2024-10-25T00:00:00"/>
    <x v="1"/>
    <n v="15"/>
    <x v="0"/>
    <x v="0"/>
    <x v="0"/>
    <x v="0"/>
    <n v="20"/>
    <n v="3"/>
    <x v="3"/>
  </r>
  <r>
    <n v="3474"/>
    <x v="232"/>
    <x v="2"/>
    <d v="2024-10-26T00:00:00"/>
    <x v="0"/>
    <n v="10"/>
    <x v="1"/>
    <x v="1"/>
    <x v="1"/>
    <x v="0"/>
    <n v="20"/>
    <n v="15"/>
    <x v="7"/>
  </r>
  <r>
    <n v="3475"/>
    <x v="233"/>
    <x v="1"/>
    <d v="2024-10-27T00:00:00"/>
    <x v="1"/>
    <n v="5"/>
    <x v="0"/>
    <x v="1"/>
    <x v="1"/>
    <x v="1"/>
    <n v="0"/>
    <n v="1"/>
    <x v="4"/>
  </r>
  <r>
    <n v="3476"/>
    <x v="234"/>
    <x v="0"/>
    <d v="2024-10-28T00:00:00"/>
    <x v="0"/>
    <n v="15"/>
    <x v="2"/>
    <x v="0"/>
    <x v="0"/>
    <x v="0"/>
    <n v="20"/>
    <n v="7"/>
    <x v="12"/>
  </r>
  <r>
    <n v="3477"/>
    <x v="235"/>
    <x v="2"/>
    <d v="2024-10-29T00:00:00"/>
    <x v="1"/>
    <n v="10"/>
    <x v="0"/>
    <x v="1"/>
    <x v="1"/>
    <x v="0"/>
    <n v="20"/>
    <n v="10"/>
    <x v="2"/>
  </r>
  <r>
    <n v="3478"/>
    <x v="236"/>
    <x v="1"/>
    <d v="2024-10-30T00:00:00"/>
    <x v="0"/>
    <n v="5"/>
    <x v="1"/>
    <x v="1"/>
    <x v="1"/>
    <x v="1"/>
    <n v="0"/>
    <n v="0"/>
    <x v="1"/>
  </r>
  <r>
    <n v="3479"/>
    <x v="237"/>
    <x v="0"/>
    <d v="2024-10-31T00:00:00"/>
    <x v="1"/>
    <n v="15"/>
    <x v="0"/>
    <x v="0"/>
    <x v="0"/>
    <x v="0"/>
    <n v="20"/>
    <n v="20"/>
    <x v="8"/>
  </r>
  <r>
    <n v="3480"/>
    <x v="238"/>
    <x v="2"/>
    <d v="2024-11-01T00:00:00"/>
    <x v="0"/>
    <n v="10"/>
    <x v="2"/>
    <x v="1"/>
    <x v="1"/>
    <x v="0"/>
    <n v="20"/>
    <n v="15"/>
    <x v="7"/>
  </r>
  <r>
    <n v="3481"/>
    <x v="239"/>
    <x v="1"/>
    <d v="2024-11-02T00:00:00"/>
    <x v="1"/>
    <n v="5"/>
    <x v="0"/>
    <x v="1"/>
    <x v="1"/>
    <x v="1"/>
    <n v="0"/>
    <n v="1"/>
    <x v="4"/>
  </r>
  <r>
    <n v="3482"/>
    <x v="240"/>
    <x v="0"/>
    <d v="2024-11-03T00:00:00"/>
    <x v="0"/>
    <n v="15"/>
    <x v="1"/>
    <x v="0"/>
    <x v="0"/>
    <x v="0"/>
    <n v="20"/>
    <n v="3"/>
    <x v="3"/>
  </r>
  <r>
    <n v="3483"/>
    <x v="241"/>
    <x v="2"/>
    <d v="2024-11-04T00:00:00"/>
    <x v="1"/>
    <n v="10"/>
    <x v="0"/>
    <x v="1"/>
    <x v="1"/>
    <x v="0"/>
    <n v="20"/>
    <n v="10"/>
    <x v="2"/>
  </r>
  <r>
    <n v="3484"/>
    <x v="242"/>
    <x v="1"/>
    <d v="2024-11-05T00:00:00"/>
    <x v="0"/>
    <n v="5"/>
    <x v="2"/>
    <x v="1"/>
    <x v="1"/>
    <x v="1"/>
    <n v="0"/>
    <n v="0"/>
    <x v="1"/>
  </r>
  <r>
    <n v="3485"/>
    <x v="243"/>
    <x v="0"/>
    <d v="2024-11-06T00:00:00"/>
    <x v="1"/>
    <n v="15"/>
    <x v="0"/>
    <x v="0"/>
    <x v="0"/>
    <x v="0"/>
    <n v="20"/>
    <n v="15"/>
    <x v="14"/>
  </r>
  <r>
    <n v="3486"/>
    <x v="244"/>
    <x v="1"/>
    <d v="2024-11-07T00:00:00"/>
    <x v="0"/>
    <n v="5"/>
    <x v="0"/>
    <x v="1"/>
    <x v="1"/>
    <x v="1"/>
    <n v="0"/>
    <n v="0"/>
    <x v="1"/>
  </r>
  <r>
    <n v="3487"/>
    <x v="245"/>
    <x v="0"/>
    <d v="2024-11-08T00:00:00"/>
    <x v="1"/>
    <n v="15"/>
    <x v="2"/>
    <x v="0"/>
    <x v="0"/>
    <x v="0"/>
    <n v="20"/>
    <n v="7"/>
    <x v="12"/>
  </r>
  <r>
    <n v="3488"/>
    <x v="246"/>
    <x v="2"/>
    <d v="2024-11-09T00:00:00"/>
    <x v="0"/>
    <n v="10"/>
    <x v="1"/>
    <x v="1"/>
    <x v="1"/>
    <x v="0"/>
    <n v="20"/>
    <n v="10"/>
    <x v="2"/>
  </r>
  <r>
    <n v="3489"/>
    <x v="247"/>
    <x v="1"/>
    <d v="2024-11-10T00:00:00"/>
    <x v="1"/>
    <n v="5"/>
    <x v="2"/>
    <x v="1"/>
    <x v="1"/>
    <x v="1"/>
    <n v="0"/>
    <n v="1"/>
    <x v="4"/>
  </r>
  <r>
    <n v="3490"/>
    <x v="248"/>
    <x v="0"/>
    <d v="2024-11-11T00:00:00"/>
    <x v="0"/>
    <n v="15"/>
    <x v="0"/>
    <x v="0"/>
    <x v="0"/>
    <x v="0"/>
    <n v="20"/>
    <n v="15"/>
    <x v="14"/>
  </r>
  <r>
    <n v="3491"/>
    <x v="249"/>
    <x v="2"/>
    <d v="2024-11-12T00:00:00"/>
    <x v="1"/>
    <n v="10"/>
    <x v="0"/>
    <x v="1"/>
    <x v="1"/>
    <x v="0"/>
    <n v="20"/>
    <n v="5"/>
    <x v="13"/>
  </r>
  <r>
    <n v="3492"/>
    <x v="250"/>
    <x v="1"/>
    <d v="2024-11-13T00:00:00"/>
    <x v="0"/>
    <n v="5"/>
    <x v="1"/>
    <x v="1"/>
    <x v="1"/>
    <x v="1"/>
    <n v="0"/>
    <n v="0"/>
    <x v="1"/>
  </r>
  <r>
    <n v="3493"/>
    <x v="251"/>
    <x v="0"/>
    <d v="2024-11-14T00:00:00"/>
    <x v="1"/>
    <n v="15"/>
    <x v="2"/>
    <x v="0"/>
    <x v="0"/>
    <x v="0"/>
    <n v="20"/>
    <n v="20"/>
    <x v="8"/>
  </r>
  <r>
    <n v="3494"/>
    <x v="252"/>
    <x v="2"/>
    <d v="2024-11-15T00:00:00"/>
    <x v="0"/>
    <n v="10"/>
    <x v="2"/>
    <x v="1"/>
    <x v="1"/>
    <x v="0"/>
    <n v="20"/>
    <n v="12"/>
    <x v="10"/>
  </r>
  <r>
    <n v="3495"/>
    <x v="253"/>
    <x v="1"/>
    <d v="2024-11-16T00:00:00"/>
    <x v="1"/>
    <n v="5"/>
    <x v="0"/>
    <x v="1"/>
    <x v="1"/>
    <x v="1"/>
    <n v="0"/>
    <n v="2"/>
    <x v="11"/>
  </r>
  <r>
    <n v="3496"/>
    <x v="254"/>
    <x v="0"/>
    <d v="2024-11-17T00:00:00"/>
    <x v="0"/>
    <n v="15"/>
    <x v="1"/>
    <x v="0"/>
    <x v="0"/>
    <x v="0"/>
    <n v="20"/>
    <n v="5"/>
    <x v="0"/>
  </r>
  <r>
    <n v="3497"/>
    <x v="255"/>
    <x v="2"/>
    <d v="2024-11-18T00:00:00"/>
    <x v="1"/>
    <n v="10"/>
    <x v="0"/>
    <x v="1"/>
    <x v="1"/>
    <x v="0"/>
    <n v="20"/>
    <n v="10"/>
    <x v="2"/>
  </r>
  <r>
    <n v="3498"/>
    <x v="256"/>
    <x v="1"/>
    <d v="2024-11-19T00:00:00"/>
    <x v="0"/>
    <n v="5"/>
    <x v="2"/>
    <x v="1"/>
    <x v="1"/>
    <x v="1"/>
    <n v="0"/>
    <n v="0"/>
    <x v="1"/>
  </r>
  <r>
    <n v="3499"/>
    <x v="257"/>
    <x v="0"/>
    <d v="2024-11-20T00:00:00"/>
    <x v="1"/>
    <n v="15"/>
    <x v="0"/>
    <x v="0"/>
    <x v="0"/>
    <x v="0"/>
    <n v="20"/>
    <n v="3"/>
    <x v="3"/>
  </r>
  <r>
    <n v="3500"/>
    <x v="258"/>
    <x v="2"/>
    <d v="2024-11-21T00:00:00"/>
    <x v="0"/>
    <n v="10"/>
    <x v="1"/>
    <x v="1"/>
    <x v="1"/>
    <x v="0"/>
    <n v="20"/>
    <n v="15"/>
    <x v="7"/>
  </r>
  <r>
    <n v="3501"/>
    <x v="259"/>
    <x v="1"/>
    <d v="2024-11-22T00:00:00"/>
    <x v="1"/>
    <n v="5"/>
    <x v="0"/>
    <x v="1"/>
    <x v="1"/>
    <x v="1"/>
    <n v="0"/>
    <n v="1"/>
    <x v="4"/>
  </r>
  <r>
    <n v="3502"/>
    <x v="260"/>
    <x v="0"/>
    <d v="2024-11-23T00:00:00"/>
    <x v="0"/>
    <n v="15"/>
    <x v="2"/>
    <x v="0"/>
    <x v="0"/>
    <x v="0"/>
    <n v="20"/>
    <n v="7"/>
    <x v="12"/>
  </r>
  <r>
    <n v="3503"/>
    <x v="119"/>
    <x v="2"/>
    <d v="2024-11-24T00:00:00"/>
    <x v="1"/>
    <n v="10"/>
    <x v="0"/>
    <x v="1"/>
    <x v="1"/>
    <x v="0"/>
    <n v="20"/>
    <n v="10"/>
    <x v="2"/>
  </r>
  <r>
    <n v="3504"/>
    <x v="261"/>
    <x v="1"/>
    <d v="2024-11-25T00:00:00"/>
    <x v="0"/>
    <n v="5"/>
    <x v="1"/>
    <x v="1"/>
    <x v="1"/>
    <x v="1"/>
    <n v="0"/>
    <n v="0"/>
    <x v="1"/>
  </r>
  <r>
    <n v="3505"/>
    <x v="262"/>
    <x v="0"/>
    <d v="2024-11-26T00:00:00"/>
    <x v="1"/>
    <n v="15"/>
    <x v="0"/>
    <x v="0"/>
    <x v="0"/>
    <x v="0"/>
    <n v="20"/>
    <n v="20"/>
    <x v="8"/>
  </r>
  <r>
    <n v="3506"/>
    <x v="263"/>
    <x v="2"/>
    <d v="2024-11-27T00:00:00"/>
    <x v="0"/>
    <n v="10"/>
    <x v="2"/>
    <x v="1"/>
    <x v="1"/>
    <x v="0"/>
    <n v="20"/>
    <n v="15"/>
    <x v="7"/>
  </r>
  <r>
    <n v="3507"/>
    <x v="264"/>
    <x v="1"/>
    <d v="2024-11-28T00:00:00"/>
    <x v="1"/>
    <n v="5"/>
    <x v="0"/>
    <x v="1"/>
    <x v="1"/>
    <x v="1"/>
    <n v="0"/>
    <n v="1"/>
    <x v="4"/>
  </r>
  <r>
    <n v="3508"/>
    <x v="265"/>
    <x v="0"/>
    <d v="2024-11-29T00:00:00"/>
    <x v="0"/>
    <n v="15"/>
    <x v="1"/>
    <x v="0"/>
    <x v="0"/>
    <x v="0"/>
    <n v="20"/>
    <n v="3"/>
    <x v="3"/>
  </r>
  <r>
    <n v="3509"/>
    <x v="266"/>
    <x v="2"/>
    <d v="2024-11-30T00:00:00"/>
    <x v="1"/>
    <n v="10"/>
    <x v="0"/>
    <x v="1"/>
    <x v="1"/>
    <x v="0"/>
    <n v="20"/>
    <n v="10"/>
    <x v="2"/>
  </r>
  <r>
    <n v="3510"/>
    <x v="267"/>
    <x v="1"/>
    <d v="2024-12-01T00:00:00"/>
    <x v="0"/>
    <n v="5"/>
    <x v="2"/>
    <x v="1"/>
    <x v="1"/>
    <x v="1"/>
    <n v="0"/>
    <n v="0"/>
    <x v="1"/>
  </r>
  <r>
    <n v="3511"/>
    <x v="268"/>
    <x v="0"/>
    <d v="2024-12-02T00:00:00"/>
    <x v="1"/>
    <n v="15"/>
    <x v="0"/>
    <x v="0"/>
    <x v="0"/>
    <x v="0"/>
    <n v="20"/>
    <n v="15"/>
    <x v="14"/>
  </r>
  <r>
    <n v="3512"/>
    <x v="269"/>
    <x v="2"/>
    <d v="2024-12-03T00:00:00"/>
    <x v="0"/>
    <n v="10"/>
    <x v="1"/>
    <x v="1"/>
    <x v="1"/>
    <x v="0"/>
    <n v="20"/>
    <n v="15"/>
    <x v="7"/>
  </r>
  <r>
    <n v="3513"/>
    <x v="270"/>
    <x v="1"/>
    <d v="2024-12-04T00:00:00"/>
    <x v="1"/>
    <n v="5"/>
    <x v="0"/>
    <x v="1"/>
    <x v="1"/>
    <x v="1"/>
    <n v="0"/>
    <n v="1"/>
    <x v="4"/>
  </r>
  <r>
    <n v="3514"/>
    <x v="271"/>
    <x v="0"/>
    <d v="2024-12-05T00:00:00"/>
    <x v="0"/>
    <n v="15"/>
    <x v="2"/>
    <x v="0"/>
    <x v="0"/>
    <x v="0"/>
    <n v="20"/>
    <n v="7"/>
    <x v="12"/>
  </r>
  <r>
    <n v="3515"/>
    <x v="130"/>
    <x v="2"/>
    <d v="2024-12-06T00:00:00"/>
    <x v="1"/>
    <n v="10"/>
    <x v="0"/>
    <x v="1"/>
    <x v="1"/>
    <x v="0"/>
    <n v="20"/>
    <n v="10"/>
    <x v="2"/>
  </r>
  <r>
    <n v="3516"/>
    <x v="131"/>
    <x v="1"/>
    <d v="2024-12-07T00:00:00"/>
    <x v="0"/>
    <n v="5"/>
    <x v="1"/>
    <x v="1"/>
    <x v="1"/>
    <x v="1"/>
    <n v="0"/>
    <n v="0"/>
    <x v="1"/>
  </r>
  <r>
    <n v="3517"/>
    <x v="181"/>
    <x v="0"/>
    <d v="2024-12-08T00:00:00"/>
    <x v="1"/>
    <n v="15"/>
    <x v="0"/>
    <x v="0"/>
    <x v="0"/>
    <x v="0"/>
    <n v="20"/>
    <n v="20"/>
    <x v="8"/>
  </r>
  <r>
    <n v="3518"/>
    <x v="272"/>
    <x v="2"/>
    <d v="2024-12-09T00:00:00"/>
    <x v="0"/>
    <n v="10"/>
    <x v="2"/>
    <x v="1"/>
    <x v="1"/>
    <x v="0"/>
    <n v="20"/>
    <n v="12"/>
    <x v="10"/>
  </r>
  <r>
    <n v="3519"/>
    <x v="273"/>
    <x v="1"/>
    <d v="2024-12-10T00:00:00"/>
    <x v="1"/>
    <n v="5"/>
    <x v="0"/>
    <x v="1"/>
    <x v="1"/>
    <x v="1"/>
    <n v="0"/>
    <n v="2"/>
    <x v="11"/>
  </r>
  <r>
    <n v="3520"/>
    <x v="274"/>
    <x v="0"/>
    <d v="2024-12-11T00:00:00"/>
    <x v="0"/>
    <n v="15"/>
    <x v="1"/>
    <x v="0"/>
    <x v="0"/>
    <x v="0"/>
    <n v="20"/>
    <n v="5"/>
    <x v="0"/>
  </r>
  <r>
    <n v="3521"/>
    <x v="275"/>
    <x v="2"/>
    <d v="2024-12-12T00:00:00"/>
    <x v="1"/>
    <n v="10"/>
    <x v="0"/>
    <x v="1"/>
    <x v="1"/>
    <x v="0"/>
    <n v="20"/>
    <n v="10"/>
    <x v="2"/>
  </r>
  <r>
    <n v="3522"/>
    <x v="276"/>
    <x v="1"/>
    <d v="2024-12-13T00:00:00"/>
    <x v="0"/>
    <n v="5"/>
    <x v="2"/>
    <x v="1"/>
    <x v="1"/>
    <x v="1"/>
    <n v="0"/>
    <n v="0"/>
    <x v="1"/>
  </r>
  <r>
    <n v="3523"/>
    <x v="277"/>
    <x v="0"/>
    <d v="2024-12-14T00:00:00"/>
    <x v="1"/>
    <n v="15"/>
    <x v="0"/>
    <x v="0"/>
    <x v="0"/>
    <x v="0"/>
    <n v="20"/>
    <n v="3"/>
    <x v="3"/>
  </r>
  <r>
    <n v="3524"/>
    <x v="278"/>
    <x v="2"/>
    <d v="2024-12-15T00:00:00"/>
    <x v="0"/>
    <n v="10"/>
    <x v="1"/>
    <x v="1"/>
    <x v="1"/>
    <x v="0"/>
    <n v="20"/>
    <n v="15"/>
    <x v="7"/>
  </r>
  <r>
    <n v="3525"/>
    <x v="279"/>
    <x v="1"/>
    <d v="2024-12-16T00:00:00"/>
    <x v="1"/>
    <n v="5"/>
    <x v="0"/>
    <x v="1"/>
    <x v="1"/>
    <x v="1"/>
    <n v="0"/>
    <n v="1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ACD209-E8CD-49A1-B67F-F96B8C07D581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3:C3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164" showAll="0"/>
    <pivotField numFmtId="164" showAll="0"/>
    <pivotField numFmtId="16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164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38B2C0-B5A1-49CB-B65C-1F7CE43B5179}" name="tbl_easeason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164" showAll="0"/>
    <pivotField numFmtId="164" showAll="0"/>
    <pivotField numFmtId="16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 numFmtId="165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54742E-91BE-46DB-B135-715FCD4C8F19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10:C1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164" showAll="0"/>
    <pivotField numFmtId="164" showAll="0"/>
    <pivotField dataField="1" numFmtId="16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formats count="1">
    <format dxfId="17">
      <pivotArea outline="0" collapsedLevelsAreSubtotals="1" fieldPosition="0"/>
    </format>
  </formats>
  <chartFormats count="2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1BA4B7F-A2EE-46E7-A115-FAA8CE24DDFD}" sourceName="Subscription Type">
  <pivotTables>
    <pivotTable tabId="3" name="tbl_anual_total"/>
    <pivotTable tabId="3" name="tbl_easeason_total"/>
    <pivotTable tabId="3" name="Tabela dinâmica2"/>
  </pivotTables>
  <data>
    <tabular pivotCacheId="307424764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95A7E5C5-AF6A-4212-B077-7B6811253E62}" cache="SegmentaçãodeDados_Subscription_Type" caption="Período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1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30"/>
    <tableColumn id="2" xr3:uid="{53DD39D0-2220-4121-9E9D-4EAA7E151C0F}" name="Name" dataDxfId="29"/>
    <tableColumn id="3" xr3:uid="{4F5FF271-4C57-4BE0-8F2C-F82C8551625C}" name="Plan" dataDxfId="28"/>
    <tableColumn id="4" xr3:uid="{8C17EB93-79B9-4E55-B8F7-BEB82F8253E9}" name="Start Date" dataDxfId="27"/>
    <tableColumn id="5" xr3:uid="{48CEDF9B-1689-482A-A828-5CCE7713264A}" name="Auto Renewal" dataDxfId="26"/>
    <tableColumn id="6" xr3:uid="{78B82374-9AA7-4E38-AE4F-78CDE6C83720}" name="Subscription Price" dataDxfId="25" dataCellStyle="Moeda"/>
    <tableColumn id="7" xr3:uid="{F2433F68-AF33-49D0-B1FB-19A396074EDE}" name="Subscription Type" dataDxfId="24"/>
    <tableColumn id="8" xr3:uid="{FD4D9C95-F6E5-4933-9068-A71FF7DF9343}" name="EA Play Season Pass" dataDxfId="23"/>
    <tableColumn id="13" xr3:uid="{978DD0D2-834E-4CE4-A39B-30976086932F}" name="EA Play Season Pass_x000a_Price" dataDxfId="22" dataCellStyle="Moeda"/>
    <tableColumn id="9" xr3:uid="{6E29F111-C395-4580-9DAD-3407D9E8B1A4}" name="Minecraft Season Pass" dataDxfId="21"/>
    <tableColumn id="10" xr3:uid="{EF544EAA-7F25-4FD5-A10E-8E62804DB9E3}" name="Minecraft Season Pass Price" dataDxfId="20" dataCellStyle="Moeda"/>
    <tableColumn id="11" xr3:uid="{7F6EB64A-1F07-4E48-9F0F-AC7D9DCD26F8}" name="Coupon Value" dataDxfId="19" dataCellStyle="Moeda"/>
    <tableColumn id="12" xr3:uid="{2B04ABC8-DE6F-426E-ADC0-D8AFC68CA58E}" name="Total Value" dataDxfId="1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6" sqref="B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D28" sqref="D2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E37"/>
  <sheetViews>
    <sheetView showGridLines="0" workbookViewId="0">
      <selection activeCell="C8" sqref="C8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32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2:3" x14ac:dyDescent="0.25">
      <c r="B5" t="s">
        <v>316</v>
      </c>
    </row>
    <row r="6" spans="2:3" x14ac:dyDescent="0.25">
      <c r="B6" t="s">
        <v>317</v>
      </c>
    </row>
    <row r="8" spans="2:3" x14ac:dyDescent="0.25">
      <c r="B8" s="12" t="s">
        <v>16</v>
      </c>
      <c r="C8" t="s">
        <v>27</v>
      </c>
    </row>
    <row r="10" spans="2:3" x14ac:dyDescent="0.25">
      <c r="B10" s="12" t="s">
        <v>313</v>
      </c>
      <c r="C10" t="s">
        <v>315</v>
      </c>
    </row>
    <row r="11" spans="2:3" x14ac:dyDescent="0.25">
      <c r="B11" s="13" t="s">
        <v>23</v>
      </c>
      <c r="C11" s="18">
        <v>806</v>
      </c>
    </row>
    <row r="12" spans="2:3" x14ac:dyDescent="0.25">
      <c r="B12" s="13" t="s">
        <v>19</v>
      </c>
      <c r="C12" s="18">
        <v>1502</v>
      </c>
    </row>
    <row r="13" spans="2:3" x14ac:dyDescent="0.25">
      <c r="B13" s="13" t="s">
        <v>314</v>
      </c>
      <c r="C13" s="18">
        <v>2308</v>
      </c>
    </row>
    <row r="17" spans="2:5" x14ac:dyDescent="0.25">
      <c r="B17" t="s">
        <v>318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313</v>
      </c>
      <c r="C21" t="s">
        <v>319</v>
      </c>
    </row>
    <row r="22" spans="2:5" x14ac:dyDescent="0.25">
      <c r="B22" s="13" t="s">
        <v>22</v>
      </c>
      <c r="C22" s="15">
        <v>0</v>
      </c>
    </row>
    <row r="23" spans="2:5" x14ac:dyDescent="0.25">
      <c r="B23" s="13" t="s">
        <v>26</v>
      </c>
      <c r="C23" s="15">
        <v>0</v>
      </c>
    </row>
    <row r="24" spans="2:5" x14ac:dyDescent="0.25">
      <c r="B24" s="13" t="s">
        <v>18</v>
      </c>
      <c r="C24" s="15">
        <v>990</v>
      </c>
    </row>
    <row r="25" spans="2:5" ht="34.5" x14ac:dyDescent="0.55000000000000004">
      <c r="B25" s="13" t="s">
        <v>314</v>
      </c>
      <c r="C25" s="15">
        <v>990</v>
      </c>
      <c r="E25" s="17">
        <f>GETPIVOTDATA("EA Play Season Pass
Price",$B$21)</f>
        <v>990</v>
      </c>
    </row>
    <row r="29" spans="2:5" x14ac:dyDescent="0.25">
      <c r="B29" t="s">
        <v>320</v>
      </c>
    </row>
    <row r="31" spans="2:5" x14ac:dyDescent="0.25">
      <c r="B31" s="12" t="s">
        <v>16</v>
      </c>
      <c r="C31" t="s">
        <v>27</v>
      </c>
    </row>
    <row r="33" spans="2:5" x14ac:dyDescent="0.25">
      <c r="B33" s="12" t="s">
        <v>313</v>
      </c>
      <c r="C33" t="s">
        <v>321</v>
      </c>
      <c r="E33" s="16">
        <f>GETPIVOTDATA("Minecraft Season Pass Price",$B$33)</f>
        <v>1140</v>
      </c>
    </row>
    <row r="34" spans="2:5" x14ac:dyDescent="0.25">
      <c r="B34" s="13" t="s">
        <v>22</v>
      </c>
      <c r="C34" s="15">
        <v>0</v>
      </c>
    </row>
    <row r="35" spans="2:5" x14ac:dyDescent="0.25">
      <c r="B35" s="13" t="s">
        <v>26</v>
      </c>
      <c r="C35" s="15">
        <v>480</v>
      </c>
    </row>
    <row r="36" spans="2:5" x14ac:dyDescent="0.25">
      <c r="B36" s="13" t="s">
        <v>18</v>
      </c>
      <c r="C36" s="15">
        <v>660</v>
      </c>
    </row>
    <row r="37" spans="2:5" x14ac:dyDescent="0.25">
      <c r="B37" s="13" t="s">
        <v>314</v>
      </c>
      <c r="C37" s="15"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35"/>
  <sheetViews>
    <sheetView showGridLines="0" showRowColHeaders="0" tabSelected="1" zoomScaleNormal="100" workbookViewId="0">
      <selection activeCell="V1" sqref="V1:XFD1048576"/>
    </sheetView>
  </sheetViews>
  <sheetFormatPr defaultColWidth="0" defaultRowHeight="15" zeroHeight="1" x14ac:dyDescent="0.25"/>
  <cols>
    <col min="1" max="1" width="36.140625" style="14" customWidth="1"/>
    <col min="2" max="2" width="3.5703125" style="7" customWidth="1"/>
    <col min="3" max="3" width="14.5703125" style="7" customWidth="1"/>
    <col min="4" max="4" width="13.140625" style="7" customWidth="1"/>
    <col min="5" max="5" width="14.5703125" style="7" customWidth="1"/>
    <col min="6" max="6" width="10.5703125" style="7" customWidth="1"/>
    <col min="7" max="7" width="10" style="7" customWidth="1"/>
    <col min="8" max="8" width="16" style="7" customWidth="1"/>
    <col min="9" max="9" width="3.28515625" style="7" customWidth="1"/>
    <col min="10" max="11" width="9.140625" style="7" customWidth="1"/>
    <col min="12" max="12" width="6.5703125" style="7" customWidth="1"/>
    <col min="13" max="21" width="9.140625" style="7" customWidth="1"/>
    <col min="22" max="16384" width="9.140625" style="7" hidden="1"/>
  </cols>
  <sheetData>
    <row r="1" spans="1:17" customFormat="1" ht="12.75" customHeight="1" x14ac:dyDescent="0.25">
      <c r="A1" s="14"/>
    </row>
    <row r="2" spans="1:17" customFormat="1" ht="39" customHeight="1" thickBot="1" x14ac:dyDescent="0.6">
      <c r="A2" s="14"/>
      <c r="C2" s="19" t="s">
        <v>322</v>
      </c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customFormat="1" ht="17.25" customHeight="1" thickTop="1" x14ac:dyDescent="0.25">
      <c r="A3" s="14"/>
    </row>
    <row r="4" spans="1:17" ht="19.5" customHeight="1" x14ac:dyDescent="0.25"/>
    <row r="5" spans="1:17" ht="27.75" customHeight="1" x14ac:dyDescent="0.25"/>
    <row r="6" spans="1:17" ht="9.75" customHeight="1" x14ac:dyDescent="0.25"/>
    <row r="7" spans="1:17" ht="33" customHeight="1" x14ac:dyDescent="0.25"/>
    <row r="8" spans="1:17" x14ac:dyDescent="0.25"/>
    <row r="9" spans="1:17" x14ac:dyDescent="0.25"/>
    <row r="10" spans="1:17" x14ac:dyDescent="0.25"/>
    <row r="11" spans="1:17" x14ac:dyDescent="0.25"/>
    <row r="12" spans="1:17" x14ac:dyDescent="0.25"/>
    <row r="13" spans="1:17" x14ac:dyDescent="0.25"/>
    <row r="14" spans="1:17" x14ac:dyDescent="0.25"/>
    <row r="15" spans="1:17" x14ac:dyDescent="0.25"/>
    <row r="16" spans="1:17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</sheetData>
  <mergeCells count="1">
    <mergeCell ref="C2:Q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Iago R.</cp:lastModifiedBy>
  <dcterms:created xsi:type="dcterms:W3CDTF">2024-12-19T13:13:10Z</dcterms:created>
  <dcterms:modified xsi:type="dcterms:W3CDTF">2026-02-07T22:29:16Z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